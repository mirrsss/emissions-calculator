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nitednations-my.sharepoint.com/personal/amirah_yahaya_un_org/Documents/"/>
    </mc:Choice>
  </mc:AlternateContent>
  <xr:revisionPtr revIDLastSave="0" documentId="8_{9CF45CBC-37B4-48B1-8A9B-CC89AC157D8A}" xr6:coauthVersionLast="47" xr6:coauthVersionMax="47" xr10:uidLastSave="{00000000-0000-0000-0000-000000000000}"/>
  <bookViews>
    <workbookView showSheetTabs="0" xWindow="0" yWindow="760" windowWidth="29400" windowHeight="18360" tabRatio="762" xr2:uid="{A1319C1A-F584-44B4-8B89-481C94F86929}"/>
  </bookViews>
  <sheets>
    <sheet name="Start" sheetId="10" r:id="rId1"/>
    <sheet name="1.Energy" sheetId="9" r:id="rId2"/>
    <sheet name="2.Afforestation &amp; Reforestation" sheetId="15" r:id="rId3"/>
    <sheet name="3.Agriculture" sheetId="13" r:id="rId4"/>
    <sheet name="4.Forestry &amp; Conservation" sheetId="14" r:id="rId5"/>
    <sheet name="Results" sheetId="6" r:id="rId6"/>
    <sheet name="Sheet4" sheetId="11" state="hidden" r:id="rId7"/>
    <sheet name="Sheet5" sheetId="12" state="hidden" r:id="rId8"/>
    <sheet name="Sheet6" sheetId="16" state="hidden" r:id="rId9"/>
    <sheet name="Sheet7" sheetId="17" state="hidden" r:id="rId10"/>
  </sheets>
  <definedNames>
    <definedName name="_xlnm._FilterDatabase" localSheetId="7" hidden="1">Sheet5!$B$4:$J$21</definedName>
    <definedName name="_xlchart.v1.0" hidden="1">Sheet5!$A$81:$B$93</definedName>
    <definedName name="_xlchart.v1.1" hidden="1">Sheet5!$C$80</definedName>
    <definedName name="_xlchart.v1.2" hidden="1">Sheet5!$C$81:$C$93</definedName>
    <definedName name="_xlchart.v1.3" hidden="1">Sheet5!$A$81:$B$93</definedName>
    <definedName name="_xlchart.v1.4" hidden="1">Sheet5!$C$80</definedName>
    <definedName name="_xlchart.v1.5" hidden="1">Sheet5!$C$81:$C$93</definedName>
    <definedName name="_xlchart.v1.6" hidden="1">Sheet5!$A$81:$B$93</definedName>
    <definedName name="_xlchart.v1.7" hidden="1">Sheet5!$C$80</definedName>
    <definedName name="_xlchart.v1.8" hidden="1">Sheet5!$C$81:$C$93</definedName>
    <definedName name="climate">#REF!</definedName>
    <definedName name="equation">INDEX((#REF!,#REF!,#REF!,#REF!,#REF!),,,MATCH(climate,#REF!, 0))</definedName>
    <definedName name="Modern">Sheet4!$J$6:$J$12</definedName>
    <definedName name="Modern_fuel">Sheet4!$J$6:$J$10</definedName>
    <definedName name="Renewable">Sheet4!$K$6:$K$10</definedName>
    <definedName name="Renewable_fuel">Sheet4!$K$6:$K$10</definedName>
    <definedName name="time" localSheetId="1">'1.Energy'!#REF!</definedName>
    <definedName name="time" localSheetId="2">'2.Afforestation &amp; Reforestation'!#REF!</definedName>
    <definedName name="time" localSheetId="3">'3.Agriculture'!#REF!</definedName>
    <definedName name="time" localSheetId="4">'4.Forestry &amp; Conservation'!#REF!</definedName>
    <definedName name="time" localSheetId="0">Start!$T$18</definedName>
    <definedName name="time">#REF!</definedName>
    <definedName name="time_cap" localSheetId="1">'1.Energy'!#REF!</definedName>
    <definedName name="time_cap" localSheetId="2">'2.Afforestation &amp; Reforestation'!#REF!</definedName>
    <definedName name="time_cap" localSheetId="3">'3.Agriculture'!#REF!</definedName>
    <definedName name="time_cap" localSheetId="4">'4.Forestry &amp; Conservation'!#REF!</definedName>
    <definedName name="time_cap" localSheetId="0">Start!$T$19</definedName>
    <definedName name="time_ca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3" i="6" l="1"/>
  <c r="N17" i="6"/>
  <c r="N15" i="6"/>
  <c r="N13" i="6"/>
  <c r="N11" i="6"/>
  <c r="N9" i="6"/>
  <c r="G18" i="10"/>
  <c r="K44" i="6" s="1"/>
  <c r="N7" i="6"/>
  <c r="M47" i="10"/>
  <c r="M42" i="10"/>
  <c r="M37" i="10"/>
  <c r="M31" i="10"/>
  <c r="AC57" i="13"/>
  <c r="AA57" i="13"/>
  <c r="Y57" i="13"/>
  <c r="W57" i="13"/>
  <c r="U57" i="13"/>
  <c r="S57" i="13"/>
  <c r="AC56" i="13"/>
  <c r="AA56" i="13"/>
  <c r="Y56" i="13"/>
  <c r="W56" i="13"/>
  <c r="U56" i="13"/>
  <c r="S56" i="13"/>
  <c r="AC55" i="13"/>
  <c r="AA55" i="13"/>
  <c r="Y55" i="13"/>
  <c r="W55" i="13"/>
  <c r="U55" i="13"/>
  <c r="S55" i="13"/>
  <c r="AC54" i="13"/>
  <c r="AA54" i="13"/>
  <c r="Y54" i="13"/>
  <c r="W54" i="13"/>
  <c r="U54" i="13"/>
  <c r="S54" i="13"/>
  <c r="AC53" i="13"/>
  <c r="AA53" i="13"/>
  <c r="Y53" i="13"/>
  <c r="W53" i="13"/>
  <c r="U53" i="13"/>
  <c r="S53" i="13"/>
  <c r="AC52" i="13"/>
  <c r="AA52" i="13"/>
  <c r="Y52" i="13"/>
  <c r="W52" i="13"/>
  <c r="U52" i="13"/>
  <c r="S52" i="13"/>
  <c r="AC39" i="13"/>
  <c r="AA39" i="13"/>
  <c r="Y39" i="13"/>
  <c r="W39" i="13"/>
  <c r="U39" i="13"/>
  <c r="S39" i="13"/>
  <c r="AC38" i="13"/>
  <c r="AA38" i="13"/>
  <c r="Y38" i="13"/>
  <c r="W38" i="13"/>
  <c r="U38" i="13"/>
  <c r="S38" i="13"/>
  <c r="AC37" i="13"/>
  <c r="AA37" i="13"/>
  <c r="Y37" i="13"/>
  <c r="W37" i="13"/>
  <c r="U37" i="13"/>
  <c r="S37" i="13"/>
  <c r="AC36" i="13"/>
  <c r="AA36" i="13"/>
  <c r="Y36" i="13"/>
  <c r="W36" i="13"/>
  <c r="U36" i="13"/>
  <c r="S36" i="13"/>
  <c r="AC35" i="13"/>
  <c r="AA35" i="13"/>
  <c r="Y35" i="13"/>
  <c r="W35" i="13"/>
  <c r="U35" i="13"/>
  <c r="S35" i="13"/>
  <c r="AC34" i="13"/>
  <c r="AA34" i="13"/>
  <c r="Y34" i="13"/>
  <c r="W34" i="13"/>
  <c r="U34" i="13"/>
  <c r="S34" i="13"/>
  <c r="S17" i="13"/>
  <c r="S18" i="13"/>
  <c r="S19" i="13"/>
  <c r="S20" i="13"/>
  <c r="S21" i="13"/>
  <c r="U17" i="13"/>
  <c r="U18" i="13"/>
  <c r="U19" i="13"/>
  <c r="U20" i="13"/>
  <c r="U21" i="13"/>
  <c r="W17" i="13"/>
  <c r="W18" i="13"/>
  <c r="W19" i="13"/>
  <c r="W20" i="13"/>
  <c r="W21" i="13"/>
  <c r="Y17" i="13"/>
  <c r="Y18" i="13"/>
  <c r="Y19" i="13"/>
  <c r="Y20" i="13"/>
  <c r="Y21" i="13"/>
  <c r="AC17" i="13"/>
  <c r="AC18" i="13"/>
  <c r="AC19" i="13"/>
  <c r="AC20" i="13"/>
  <c r="AC21" i="13"/>
  <c r="AA17" i="13"/>
  <c r="AA18" i="13"/>
  <c r="AA19" i="13"/>
  <c r="AA20" i="13"/>
  <c r="AA21" i="13"/>
  <c r="AA16" i="13"/>
  <c r="W23" i="10"/>
  <c r="AC16" i="13"/>
  <c r="W16" i="13"/>
  <c r="U16" i="13"/>
  <c r="S16" i="13"/>
  <c r="Y16" i="13"/>
  <c r="R48" i="10" l="1"/>
  <c r="R44" i="10"/>
  <c r="R46" i="10" s="1"/>
  <c r="Q48" i="10"/>
  <c r="P34" i="10"/>
  <c r="Q46" i="10"/>
  <c r="Q44" i="10"/>
  <c r="R42" i="10"/>
  <c r="Q42" i="10"/>
  <c r="AD55" i="13"/>
  <c r="AD39" i="13"/>
  <c r="AD54" i="13"/>
  <c r="AD56" i="13"/>
  <c r="AD35" i="13"/>
  <c r="AD53" i="13"/>
  <c r="AD36" i="13"/>
  <c r="AD38" i="13"/>
  <c r="AD37" i="13"/>
  <c r="AD34" i="13"/>
  <c r="AD16" i="13"/>
  <c r="AD52" i="13"/>
  <c r="AD57" i="13"/>
  <c r="AD21" i="13"/>
  <c r="AD17" i="13"/>
  <c r="AD18" i="13"/>
  <c r="AD20" i="13"/>
  <c r="AD19" i="13"/>
  <c r="AD58" i="13" l="1"/>
  <c r="C90" i="12" s="1"/>
  <c r="AD40" i="13"/>
  <c r="C89" i="12" s="1"/>
  <c r="N39" i="14" l="1"/>
  <c r="P39" i="14" s="1"/>
  <c r="N40" i="14"/>
  <c r="P40" i="14" s="1"/>
  <c r="N41" i="14"/>
  <c r="P41" i="14" s="1"/>
  <c r="N42" i="14"/>
  <c r="P42" i="14" s="1"/>
  <c r="N43" i="14"/>
  <c r="P43" i="14" s="1"/>
  <c r="N44" i="14"/>
  <c r="P44" i="14" s="1"/>
  <c r="N45" i="14"/>
  <c r="P45" i="14" s="1"/>
  <c r="N46" i="14"/>
  <c r="P46" i="14" s="1"/>
  <c r="N47" i="14"/>
  <c r="P47" i="14" s="1"/>
  <c r="N38" i="14"/>
  <c r="P38" i="14" s="1"/>
  <c r="Y17" i="14"/>
  <c r="Y18" i="14"/>
  <c r="Y19" i="14"/>
  <c r="Y20" i="14"/>
  <c r="Y21" i="14"/>
  <c r="Y22" i="14"/>
  <c r="Y23" i="14"/>
  <c r="Y24" i="14"/>
  <c r="Y25" i="14"/>
  <c r="Y16" i="14"/>
  <c r="N61" i="14"/>
  <c r="P61" i="14" s="1"/>
  <c r="N62" i="14"/>
  <c r="P62" i="14" s="1"/>
  <c r="N63" i="14"/>
  <c r="P63" i="14" s="1"/>
  <c r="N64" i="14"/>
  <c r="P64" i="14" s="1"/>
  <c r="N65" i="14"/>
  <c r="P65" i="14" s="1"/>
  <c r="N66" i="14"/>
  <c r="P66" i="14" s="1"/>
  <c r="N67" i="14"/>
  <c r="P67" i="14" s="1"/>
  <c r="N68" i="14"/>
  <c r="P68" i="14" s="1"/>
  <c r="N69" i="14"/>
  <c r="P69" i="14" s="1"/>
  <c r="N60" i="14"/>
  <c r="P60" i="14" s="1"/>
  <c r="P48" i="14" l="1"/>
  <c r="C92" i="12" s="1"/>
  <c r="P70" i="14"/>
  <c r="C93" i="12" s="1"/>
  <c r="Y26" i="14"/>
  <c r="C91" i="12" s="1"/>
  <c r="Y57" i="15" l="1"/>
  <c r="Z57" i="15" s="1"/>
  <c r="Y54" i="15"/>
  <c r="Z54" i="15" s="1"/>
  <c r="I48" i="16"/>
  <c r="I49" i="16"/>
  <c r="I50" i="16"/>
  <c r="I51" i="16"/>
  <c r="I52" i="16"/>
  <c r="I47" i="16"/>
  <c r="A48" i="16"/>
  <c r="B48" i="16" s="1"/>
  <c r="D48" i="16" s="1"/>
  <c r="G48" i="16" s="1"/>
  <c r="A49" i="16"/>
  <c r="B49" i="16" s="1"/>
  <c r="D49" i="16" s="1"/>
  <c r="G49" i="16" s="1"/>
  <c r="A50" i="16"/>
  <c r="B50" i="16" s="1"/>
  <c r="D50" i="16" s="1"/>
  <c r="G50" i="16" s="1"/>
  <c r="A51" i="16"/>
  <c r="C51" i="16" s="1"/>
  <c r="E51" i="16" s="1"/>
  <c r="A52" i="16"/>
  <c r="C52" i="16" s="1"/>
  <c r="F52" i="16" s="1"/>
  <c r="A47" i="16"/>
  <c r="C47" i="16" s="1"/>
  <c r="F47" i="16" s="1"/>
  <c r="Z19" i="15"/>
  <c r="Z20" i="15"/>
  <c r="Z21" i="15"/>
  <c r="I38" i="16"/>
  <c r="I39" i="16"/>
  <c r="I40" i="16"/>
  <c r="H40" i="16" s="1"/>
  <c r="I41" i="16"/>
  <c r="H41" i="16" s="1"/>
  <c r="I42" i="16"/>
  <c r="H42" i="16" s="1"/>
  <c r="I37" i="16"/>
  <c r="A38" i="16"/>
  <c r="B38" i="16" s="1"/>
  <c r="D38" i="16" s="1"/>
  <c r="G38" i="16" s="1"/>
  <c r="A39" i="16"/>
  <c r="C39" i="16" s="1"/>
  <c r="A40" i="16"/>
  <c r="C40" i="16" s="1"/>
  <c r="A41" i="16"/>
  <c r="C41" i="16" s="1"/>
  <c r="A42" i="16"/>
  <c r="C42" i="16" s="1"/>
  <c r="A37" i="16"/>
  <c r="C37" i="16" s="1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4" i="17"/>
  <c r="V35" i="15"/>
  <c r="Y35" i="15" s="1"/>
  <c r="V36" i="15"/>
  <c r="Y36" i="15" s="1"/>
  <c r="V37" i="15"/>
  <c r="Y37" i="15" s="1"/>
  <c r="V38" i="15"/>
  <c r="Y38" i="15" s="1"/>
  <c r="V39" i="15"/>
  <c r="Y39" i="15" s="1"/>
  <c r="V34" i="15"/>
  <c r="U55" i="9"/>
  <c r="W55" i="9"/>
  <c r="Y55" i="9"/>
  <c r="U56" i="9"/>
  <c r="W56" i="9"/>
  <c r="Y56" i="9"/>
  <c r="U57" i="9"/>
  <c r="W57" i="9"/>
  <c r="Y57" i="9"/>
  <c r="B26" i="16"/>
  <c r="B30" i="16" s="1"/>
  <c r="C22" i="16"/>
  <c r="B25" i="16"/>
  <c r="B28" i="16" s="1"/>
  <c r="B31" i="16" s="1"/>
  <c r="Y17" i="15"/>
  <c r="Y18" i="15"/>
  <c r="Y19" i="15"/>
  <c r="Y20" i="15"/>
  <c r="Y21" i="15"/>
  <c r="V17" i="15"/>
  <c r="V18" i="15"/>
  <c r="V19" i="15"/>
  <c r="V20" i="15"/>
  <c r="V21" i="15"/>
  <c r="Y16" i="15"/>
  <c r="V16" i="15"/>
  <c r="D21" i="16"/>
  <c r="D20" i="16"/>
  <c r="D19" i="16"/>
  <c r="D18" i="16"/>
  <c r="D17" i="16"/>
  <c r="D16" i="16"/>
  <c r="D15" i="16"/>
  <c r="D14" i="16"/>
  <c r="D22" i="16" s="1"/>
  <c r="D13" i="16"/>
  <c r="D12" i="16"/>
  <c r="D11" i="16"/>
  <c r="D10" i="16"/>
  <c r="D9" i="16"/>
  <c r="D8" i="16"/>
  <c r="D7" i="16"/>
  <c r="D6" i="16"/>
  <c r="D5" i="16"/>
  <c r="D4" i="16"/>
  <c r="H50" i="16" l="1"/>
  <c r="Z37" i="15" s="1"/>
  <c r="B47" i="16"/>
  <c r="D47" i="16" s="1"/>
  <c r="G47" i="16" s="1"/>
  <c r="C50" i="16"/>
  <c r="E50" i="16" s="1"/>
  <c r="B52" i="16"/>
  <c r="D52" i="16" s="1"/>
  <c r="G52" i="16" s="1"/>
  <c r="B51" i="16"/>
  <c r="D51" i="16" s="1"/>
  <c r="G51" i="16" s="1"/>
  <c r="H47" i="16"/>
  <c r="H51" i="16"/>
  <c r="Z38" i="15" s="1"/>
  <c r="E42" i="16"/>
  <c r="F42" i="16"/>
  <c r="B42" i="16"/>
  <c r="D42" i="16" s="1"/>
  <c r="G42" i="16" s="1"/>
  <c r="B37" i="16"/>
  <c r="D37" i="16" s="1"/>
  <c r="G37" i="16" s="1"/>
  <c r="E40" i="16"/>
  <c r="F40" i="16"/>
  <c r="E37" i="16"/>
  <c r="F37" i="16"/>
  <c r="E41" i="16"/>
  <c r="F41" i="16"/>
  <c r="E39" i="16"/>
  <c r="F39" i="16"/>
  <c r="B40" i="16"/>
  <c r="D40" i="16" s="1"/>
  <c r="G40" i="16" s="1"/>
  <c r="C49" i="16"/>
  <c r="E49" i="16" s="1"/>
  <c r="H49" i="16" s="1"/>
  <c r="Z36" i="15" s="1"/>
  <c r="E47" i="16"/>
  <c r="C38" i="16"/>
  <c r="B41" i="16"/>
  <c r="D41" i="16" s="1"/>
  <c r="G41" i="16" s="1"/>
  <c r="B39" i="16"/>
  <c r="D39" i="16" s="1"/>
  <c r="G39" i="16" s="1"/>
  <c r="H39" i="16" s="1"/>
  <c r="Z18" i="15" s="1"/>
  <c r="C48" i="16"/>
  <c r="F48" i="16" s="1"/>
  <c r="Y53" i="15"/>
  <c r="Z53" i="15" s="1"/>
  <c r="Y52" i="15"/>
  <c r="Z52" i="15" s="1"/>
  <c r="Y55" i="15"/>
  <c r="Z55" i="15" s="1"/>
  <c r="Y56" i="15"/>
  <c r="Z56" i="15" s="1"/>
  <c r="H52" i="16"/>
  <c r="Z39" i="15" s="1"/>
  <c r="E52" i="16"/>
  <c r="F51" i="16"/>
  <c r="Y34" i="15"/>
  <c r="B29" i="16"/>
  <c r="B32" i="16" s="1"/>
  <c r="E48" i="16" l="1"/>
  <c r="H48" i="16" s="1"/>
  <c r="Z35" i="15" s="1"/>
  <c r="Z34" i="15"/>
  <c r="F50" i="16"/>
  <c r="H37" i="16"/>
  <c r="Z16" i="15" s="1"/>
  <c r="F49" i="16"/>
  <c r="E38" i="16"/>
  <c r="H38" i="16" s="1"/>
  <c r="Z17" i="15" s="1"/>
  <c r="F38" i="16"/>
  <c r="Z58" i="15"/>
  <c r="C87" i="12" s="1"/>
  <c r="Z40" i="15" l="1"/>
  <c r="C86" i="12" s="1"/>
  <c r="Z22" i="15"/>
  <c r="C85" i="12" s="1"/>
  <c r="U71" i="9" l="1"/>
  <c r="U72" i="9"/>
  <c r="U73" i="9"/>
  <c r="U74" i="9"/>
  <c r="U75" i="9"/>
  <c r="U70" i="9"/>
  <c r="U76" i="9" l="1"/>
  <c r="C84" i="12" s="1"/>
  <c r="AD22" i="13" l="1"/>
  <c r="C88" i="12" s="1"/>
  <c r="AH53" i="9"/>
  <c r="AH54" i="9"/>
  <c r="AH55" i="9"/>
  <c r="AH56" i="9"/>
  <c r="AH57" i="9"/>
  <c r="AH52" i="9"/>
  <c r="Q53" i="9"/>
  <c r="Y53" i="9" s="1"/>
  <c r="Q54" i="9"/>
  <c r="Y54" i="9" s="1"/>
  <c r="Q55" i="9"/>
  <c r="Q56" i="9"/>
  <c r="Q57" i="9"/>
  <c r="Q52" i="9"/>
  <c r="Y52" i="9" s="1"/>
  <c r="P53" i="9"/>
  <c r="W53" i="9" s="1"/>
  <c r="P54" i="9"/>
  <c r="W54" i="9" s="1"/>
  <c r="P55" i="9"/>
  <c r="P56" i="9"/>
  <c r="P57" i="9"/>
  <c r="P52" i="9"/>
  <c r="W52" i="9" s="1"/>
  <c r="O53" i="9"/>
  <c r="U53" i="9" s="1"/>
  <c r="O55" i="9"/>
  <c r="O56" i="9"/>
  <c r="O57" i="9"/>
  <c r="O52" i="9"/>
  <c r="U52" i="9" s="1"/>
  <c r="H87" i="10"/>
  <c r="O54" i="9" s="1"/>
  <c r="U54" i="9" s="1"/>
  <c r="G56" i="12"/>
  <c r="H56" i="12"/>
  <c r="I56" i="12"/>
  <c r="G57" i="12"/>
  <c r="H57" i="12"/>
  <c r="I57" i="12"/>
  <c r="G58" i="12"/>
  <c r="H58" i="12"/>
  <c r="I58" i="12"/>
  <c r="G60" i="12"/>
  <c r="H60" i="12"/>
  <c r="I60" i="12"/>
  <c r="G61" i="12"/>
  <c r="H61" i="12"/>
  <c r="I61" i="12"/>
  <c r="G62" i="12"/>
  <c r="H62" i="12"/>
  <c r="I62" i="12"/>
  <c r="H54" i="12"/>
  <c r="I54" i="12"/>
  <c r="G54" i="12"/>
  <c r="AB54" i="9" l="1"/>
  <c r="AB57" i="9"/>
  <c r="AB55" i="9"/>
  <c r="AB56" i="9"/>
  <c r="AB53" i="9"/>
  <c r="AB52" i="9"/>
  <c r="S35" i="9"/>
  <c r="W35" i="9" s="1"/>
  <c r="S36" i="9"/>
  <c r="W36" i="9" s="1"/>
  <c r="S37" i="9"/>
  <c r="W37" i="9" s="1"/>
  <c r="S38" i="9"/>
  <c r="W38" i="9" s="1"/>
  <c r="S39" i="9"/>
  <c r="W39" i="9" s="1"/>
  <c r="S34" i="9"/>
  <c r="W34" i="9" s="1"/>
  <c r="P35" i="9"/>
  <c r="P36" i="9"/>
  <c r="P37" i="9"/>
  <c r="P38" i="9"/>
  <c r="P39" i="9"/>
  <c r="AB58" i="9" l="1"/>
  <c r="C83" i="12" s="1"/>
  <c r="U35" i="9"/>
  <c r="Z35" i="9" s="1"/>
  <c r="U36" i="9"/>
  <c r="Z36" i="9" s="1"/>
  <c r="U37" i="9"/>
  <c r="Z37" i="9" s="1"/>
  <c r="U38" i="9"/>
  <c r="Z38" i="9" s="1"/>
  <c r="U39" i="9"/>
  <c r="Z39" i="9" s="1"/>
  <c r="P34" i="9"/>
  <c r="U34" i="9" l="1"/>
  <c r="Z34" i="9" s="1"/>
  <c r="Z40" i="9" s="1"/>
  <c r="C82" i="12" s="1"/>
  <c r="U18" i="9"/>
  <c r="W18" i="9"/>
  <c r="Y18" i="9"/>
  <c r="AA18" i="9"/>
  <c r="U19" i="9"/>
  <c r="W19" i="9"/>
  <c r="Y19" i="9"/>
  <c r="AA19" i="9"/>
  <c r="U20" i="9"/>
  <c r="W20" i="9"/>
  <c r="Y20" i="9"/>
  <c r="AA20" i="9"/>
  <c r="U21" i="9"/>
  <c r="W21" i="9"/>
  <c r="Y21" i="9"/>
  <c r="AA21" i="9"/>
  <c r="Q73" i="10"/>
  <c r="Q72" i="10"/>
  <c r="AA17" i="9" s="1"/>
  <c r="Q71" i="10"/>
  <c r="U16" i="9" s="1"/>
  <c r="AH17" i="9"/>
  <c r="AH18" i="9"/>
  <c r="AH19" i="9"/>
  <c r="AH20" i="9"/>
  <c r="AH21" i="9"/>
  <c r="AH16" i="9"/>
  <c r="D41" i="12"/>
  <c r="D40" i="12"/>
  <c r="D39" i="12"/>
  <c r="D38" i="12"/>
  <c r="D37" i="12"/>
  <c r="C41" i="12"/>
  <c r="D18" i="12"/>
  <c r="L19" i="12"/>
  <c r="K19" i="12"/>
  <c r="J19" i="12"/>
  <c r="F18" i="12"/>
  <c r="L6" i="12" s="1"/>
  <c r="F17" i="12"/>
  <c r="E18" i="12"/>
  <c r="F14" i="12"/>
  <c r="F13" i="12"/>
  <c r="E14" i="12"/>
  <c r="E13" i="12"/>
  <c r="F8" i="12"/>
  <c r="F7" i="12"/>
  <c r="K6" i="12"/>
  <c r="J6" i="12"/>
  <c r="D14" i="12"/>
  <c r="C28" i="12"/>
  <c r="C29" i="12" s="1"/>
  <c r="C40" i="12" s="1"/>
  <c r="G19" i="12" l="1"/>
  <c r="C37" i="12"/>
  <c r="I19" i="12"/>
  <c r="D29" i="12"/>
  <c r="C38" i="12"/>
  <c r="H19" i="12"/>
  <c r="C39" i="12"/>
  <c r="AA16" i="9"/>
  <c r="W16" i="9"/>
  <c r="Y17" i="9"/>
  <c r="W17" i="9"/>
  <c r="Y16" i="9"/>
  <c r="U17" i="9"/>
  <c r="AC18" i="9"/>
  <c r="AC20" i="9"/>
  <c r="AC19" i="9"/>
  <c r="AC21" i="9"/>
  <c r="G6" i="12"/>
  <c r="I6" i="12"/>
  <c r="H6" i="12"/>
  <c r="M12" i="12" s="1"/>
  <c r="L12" i="12" l="1"/>
  <c r="AC17" i="9"/>
  <c r="AC16" i="9"/>
  <c r="N12" i="12"/>
  <c r="AC22" i="9" l="1"/>
  <c r="C81" i="12" s="1"/>
  <c r="L28" i="6" l="1"/>
</calcChain>
</file>

<file path=xl/sharedStrings.xml><?xml version="1.0" encoding="utf-8"?>
<sst xmlns="http://schemas.openxmlformats.org/spreadsheetml/2006/main" count="1117" uniqueCount="467">
  <si>
    <t>DESCRIPTION</t>
  </si>
  <si>
    <t>User Name</t>
  </si>
  <si>
    <t>Date</t>
  </si>
  <si>
    <t xml:space="preserve">Project name </t>
  </si>
  <si>
    <t>Project cost (in USD)</t>
  </si>
  <si>
    <t xml:space="preserve">Funding agency </t>
  </si>
  <si>
    <t>Executing agency</t>
  </si>
  <si>
    <t>CAFI Mitigation Tool</t>
  </si>
  <si>
    <t>Project site and duration</t>
  </si>
  <si>
    <t>Country</t>
  </si>
  <si>
    <t xml:space="preserve">Climate </t>
  </si>
  <si>
    <t xml:space="preserve">Moisture </t>
  </si>
  <si>
    <t xml:space="preserve">Soil Type </t>
  </si>
  <si>
    <t>Implemetation phase</t>
  </si>
  <si>
    <t>Capitalization phase</t>
  </si>
  <si>
    <t>Total duration of calculation</t>
  </si>
  <si>
    <t>PARAMETERS</t>
  </si>
  <si>
    <t>Global warming potential</t>
  </si>
  <si>
    <r>
      <t>CO</t>
    </r>
    <r>
      <rPr>
        <vertAlign val="subscript"/>
        <sz val="11"/>
        <color theme="1"/>
        <rFont val="Aptos"/>
        <family val="2"/>
      </rPr>
      <t>2</t>
    </r>
  </si>
  <si>
    <r>
      <t>CH</t>
    </r>
    <r>
      <rPr>
        <vertAlign val="subscript"/>
        <sz val="11"/>
        <color theme="1"/>
        <rFont val="Aptos"/>
        <family val="2"/>
      </rPr>
      <t>4</t>
    </r>
  </si>
  <si>
    <r>
      <rPr>
        <b/>
        <sz val="11"/>
        <color theme="1"/>
        <rFont val="Aptos Narrow"/>
        <family val="2"/>
        <scheme val="minor"/>
      </rPr>
      <t>Tier1</t>
    </r>
    <r>
      <rPr>
        <sz val="11"/>
        <color theme="1"/>
        <rFont val="Aptos Narrow"/>
        <family val="2"/>
        <scheme val="minor"/>
      </rPr>
      <t xml:space="preserve"> </t>
    </r>
    <r>
      <rPr>
        <i/>
        <sz val="11"/>
        <color theme="1"/>
        <rFont val="Aptos Narrow"/>
        <family val="2"/>
        <scheme val="minor"/>
      </rPr>
      <t>(Default)</t>
    </r>
  </si>
  <si>
    <r>
      <t xml:space="preserve">Tier2       </t>
    </r>
    <r>
      <rPr>
        <i/>
        <sz val="11"/>
        <color theme="1"/>
        <rFont val="Aptos Narrow"/>
        <family val="2"/>
        <scheme val="minor"/>
      </rPr>
      <t xml:space="preserve"> (If any)</t>
    </r>
  </si>
  <si>
    <t>Reference soil organic carbon</t>
  </si>
  <si>
    <t>SOC (tC/ha)</t>
  </si>
  <si>
    <t>Carbon franction</t>
  </si>
  <si>
    <t>Carbon fraction</t>
  </si>
  <si>
    <t>DRC</t>
  </si>
  <si>
    <t>Congo</t>
  </si>
  <si>
    <t>Cameroon</t>
  </si>
  <si>
    <t>Gabon</t>
  </si>
  <si>
    <t>CAR</t>
  </si>
  <si>
    <t>Eq. Guinea</t>
  </si>
  <si>
    <t>Countries</t>
  </si>
  <si>
    <t>Please select</t>
  </si>
  <si>
    <t xml:space="preserve">                   Project duration (in years)</t>
  </si>
  <si>
    <t>Climate</t>
  </si>
  <si>
    <t>Tropical lowland</t>
  </si>
  <si>
    <t>Tropical montane</t>
  </si>
  <si>
    <t>Moisture</t>
  </si>
  <si>
    <t>Dry</t>
  </si>
  <si>
    <t>Moist</t>
  </si>
  <si>
    <t>Wet</t>
  </si>
  <si>
    <t>a</t>
  </si>
  <si>
    <t>Improved Cookstoves manufacturing and distribution</t>
  </si>
  <si>
    <t>Soil type</t>
  </si>
  <si>
    <t>Clay soils</t>
  </si>
  <si>
    <t>Sandy soils</t>
  </si>
  <si>
    <t>Spodic soils</t>
  </si>
  <si>
    <t>Volcanic soils</t>
  </si>
  <si>
    <t>Wetland soils</t>
  </si>
  <si>
    <t>Organic soils</t>
  </si>
  <si>
    <t>Default value</t>
  </si>
  <si>
    <t>CO2</t>
  </si>
  <si>
    <t>CH4</t>
  </si>
  <si>
    <t>Fuel type</t>
  </si>
  <si>
    <t>Dry wood</t>
  </si>
  <si>
    <t>Wet wood</t>
  </si>
  <si>
    <t>Charcoal</t>
  </si>
  <si>
    <t>Number of cookstoves distributed per year</t>
  </si>
  <si>
    <t>Cookstove type</t>
  </si>
  <si>
    <t>Natural draft</t>
  </si>
  <si>
    <t>Forced draft</t>
  </si>
  <si>
    <t>Rocket type</t>
  </si>
  <si>
    <t>Type of fuel used</t>
  </si>
  <si>
    <t>Type of cookstove distributed</t>
  </si>
  <si>
    <t>Nombre moyen d'habitant par menage</t>
  </si>
  <si>
    <t>Wood energy consumption - person (kg/hab./yr)</t>
  </si>
  <si>
    <t>Wood energy consumption - household (kg/house./yr)</t>
  </si>
  <si>
    <t>Gasifier</t>
  </si>
  <si>
    <t>dry straw</t>
  </si>
  <si>
    <t>Trad</t>
  </si>
  <si>
    <t>CO</t>
  </si>
  <si>
    <t xml:space="preserve">CH4 </t>
  </si>
  <si>
    <t>NOx</t>
  </si>
  <si>
    <t>Emission factor (g/kg)</t>
  </si>
  <si>
    <t>Value</t>
  </si>
  <si>
    <t>Emission (tCO2e/yr)</t>
  </si>
  <si>
    <t>Total GHG emission reduced (tCO2e)</t>
  </si>
  <si>
    <t>GHG emission reduced</t>
  </si>
  <si>
    <t>Local data</t>
  </si>
  <si>
    <t>Other</t>
  </si>
  <si>
    <t>NMVOCs</t>
  </si>
  <si>
    <t>Black carbon</t>
  </si>
  <si>
    <t>Trad. cookstoves [Wood]</t>
  </si>
  <si>
    <t>Trad. cookstoves [Charcoal]</t>
  </si>
  <si>
    <r>
      <t>CO</t>
    </r>
    <r>
      <rPr>
        <vertAlign val="subscript"/>
        <sz val="12"/>
        <color theme="1"/>
        <rFont val="Aptos"/>
        <family val="2"/>
      </rPr>
      <t>2</t>
    </r>
  </si>
  <si>
    <r>
      <t>CH</t>
    </r>
    <r>
      <rPr>
        <vertAlign val="subscript"/>
        <sz val="12"/>
        <color theme="1"/>
        <rFont val="Aptos"/>
        <family val="2"/>
      </rPr>
      <t>4</t>
    </r>
  </si>
  <si>
    <t>Wood</t>
  </si>
  <si>
    <t>Emission of traditional cookstoves (ton/yr)</t>
  </si>
  <si>
    <t>NMVOC</t>
  </si>
  <si>
    <t>Local   value</t>
  </si>
  <si>
    <t>Cookstove</t>
  </si>
  <si>
    <t>[fuel] type</t>
  </si>
  <si>
    <t>Wood energy consumption - cookstove (kg/yr)</t>
  </si>
  <si>
    <t>Emission factor traditional cookstoves (g/kg) [default]</t>
  </si>
  <si>
    <t>Fuel reduction rate *   (%)</t>
  </si>
  <si>
    <t>Adoption rate **       (%)</t>
  </si>
  <si>
    <t>Quantity of fuel used</t>
  </si>
  <si>
    <t>Fuel consumption of a stove (ton/household/year)</t>
  </si>
  <si>
    <t>Trad. cookstoves [Other]</t>
  </si>
  <si>
    <t>NMVOC ^</t>
  </si>
  <si>
    <t>^ Non-methane volatile organic compounds</t>
  </si>
  <si>
    <t>^^ Emission factor calculated for the given the cookstove and fuel types</t>
  </si>
  <si>
    <t>GHG emission reduced (ton)</t>
  </si>
  <si>
    <t>* ICPS = Improved Charcoal Production System</t>
  </si>
  <si>
    <t>Transformation activity deployed</t>
  </si>
  <si>
    <t>Transformation activity</t>
  </si>
  <si>
    <t>ICPS *</t>
  </si>
  <si>
    <t>1.1.</t>
  </si>
  <si>
    <t>Transformation system used</t>
  </si>
  <si>
    <t>Transformation system</t>
  </si>
  <si>
    <t>Wood distilation</t>
  </si>
  <si>
    <t>Retort, no extra fuel</t>
  </si>
  <si>
    <t>Retort, with extra fuel</t>
  </si>
  <si>
    <t>Kiln, ceramic or metal</t>
  </si>
  <si>
    <t>Emission factor charcoal production (g/kg) [default]</t>
  </si>
  <si>
    <t>Earth mounds / pits</t>
  </si>
  <si>
    <t>Emission factor ICPS</t>
  </si>
  <si>
    <t>Emission factor  **  (g/kg)</t>
  </si>
  <si>
    <t>** g of emission produced / kg of charcoal produced</t>
  </si>
  <si>
    <t>1.2.</t>
  </si>
  <si>
    <t>Improved transformation efficiency</t>
  </si>
  <si>
    <t>Eco-Charcoal **</t>
  </si>
  <si>
    <t>** Eco-Charcoal = Charcoal produced from wood extracted from deforestation-free plantations</t>
  </si>
  <si>
    <t>1.3.</t>
  </si>
  <si>
    <t>Wood fuel substitution</t>
  </si>
  <si>
    <t>Kerosene</t>
  </si>
  <si>
    <t>LPG</t>
  </si>
  <si>
    <t>Fuel category</t>
  </si>
  <si>
    <t>Modern fuel</t>
  </si>
  <si>
    <t>Renewable</t>
  </si>
  <si>
    <t>Electric (incl. induction)</t>
  </si>
  <si>
    <t>Natural gas stove</t>
  </si>
  <si>
    <t>Ethanol</t>
  </si>
  <si>
    <t>Modern</t>
  </si>
  <si>
    <t>Kerosene stove (g/kg)</t>
  </si>
  <si>
    <t>LPG (g/kg)</t>
  </si>
  <si>
    <t>Entity</t>
  </si>
  <si>
    <t>Year</t>
  </si>
  <si>
    <t>Carbon intensity of electricity - gCO2/kWh</t>
  </si>
  <si>
    <t>Central African Republic</t>
  </si>
  <si>
    <t>Democratic Republic of Congo</t>
  </si>
  <si>
    <t>Equatorial Guinea</t>
  </si>
  <si>
    <t>kg CO2 per mmBtu g CH4 per mmBtu g N2O per mmBtu kg CO2 per scf g CH4 per scf g N2O per scf</t>
  </si>
  <si>
    <t xml:space="preserve">kg CO2 per mmBtu </t>
  </si>
  <si>
    <t xml:space="preserve">g CH4 per mmBtu </t>
  </si>
  <si>
    <t xml:space="preserve">g N2O per mmBtu </t>
  </si>
  <si>
    <t>Biodiesel</t>
  </si>
  <si>
    <t>Other biogas</t>
  </si>
  <si>
    <t>Natural gas</t>
  </si>
  <si>
    <t>Propane</t>
  </si>
  <si>
    <t>g CH4 per MWh</t>
  </si>
  <si>
    <t xml:space="preserve">g N2O per MWh </t>
  </si>
  <si>
    <t xml:space="preserve">kg CO2 per MWh </t>
  </si>
  <si>
    <r>
      <t>CO</t>
    </r>
    <r>
      <rPr>
        <vertAlign val="subscript"/>
        <sz val="12"/>
        <color theme="1"/>
        <rFont val="Aptos"/>
        <family val="2"/>
      </rPr>
      <t>2</t>
    </r>
    <r>
      <rPr>
        <sz val="12"/>
        <color theme="1"/>
        <rFont val="Aptos"/>
        <family val="2"/>
      </rPr>
      <t xml:space="preserve">         [kg/MWh]</t>
    </r>
  </si>
  <si>
    <t>Rewable fuel</t>
  </si>
  <si>
    <r>
      <t>CH</t>
    </r>
    <r>
      <rPr>
        <vertAlign val="subscript"/>
        <sz val="12"/>
        <color theme="1"/>
        <rFont val="Aptos"/>
        <family val="2"/>
      </rPr>
      <t>4</t>
    </r>
    <r>
      <rPr>
        <sz val="12"/>
        <color theme="1"/>
        <rFont val="Aptos"/>
        <family val="2"/>
      </rPr>
      <t xml:space="preserve">           [g/MWh]</t>
    </r>
  </si>
  <si>
    <r>
      <t>N</t>
    </r>
    <r>
      <rPr>
        <vertAlign val="subscript"/>
        <sz val="11"/>
        <color theme="1"/>
        <rFont val="Aptos"/>
        <family val="2"/>
      </rPr>
      <t>2</t>
    </r>
    <r>
      <rPr>
        <sz val="12"/>
        <color theme="1"/>
        <rFont val="Aptos Narrow"/>
        <family val="2"/>
        <scheme val="minor"/>
      </rPr>
      <t>O</t>
    </r>
  </si>
  <si>
    <t>Emission factor of substitution fuel [default]</t>
  </si>
  <si>
    <t>Carbon intensity of electricity in the Congo Basin [default]</t>
  </si>
  <si>
    <r>
      <t>N</t>
    </r>
    <r>
      <rPr>
        <vertAlign val="subscript"/>
        <sz val="11"/>
        <color theme="1"/>
        <rFont val="Aptos"/>
        <family val="2"/>
      </rPr>
      <t>2</t>
    </r>
    <r>
      <rPr>
        <sz val="12"/>
        <color theme="1"/>
        <rFont val="Aptos Narrow"/>
        <family val="2"/>
        <scheme val="minor"/>
      </rPr>
      <t>O [g/MWh]</t>
    </r>
  </si>
  <si>
    <t>kgCO2/MWh</t>
  </si>
  <si>
    <t>Energy generated</t>
  </si>
  <si>
    <t>MWh/kg</t>
  </si>
  <si>
    <t>Trad. Cookstove</t>
  </si>
  <si>
    <t>Quantity of sustainable energy deployed (MWh)</t>
  </si>
  <si>
    <r>
      <t>N</t>
    </r>
    <r>
      <rPr>
        <vertAlign val="subscript"/>
        <sz val="11"/>
        <color theme="1"/>
        <rFont val="Aptos"/>
        <family val="2"/>
      </rPr>
      <t>2</t>
    </r>
    <r>
      <rPr>
        <sz val="11"/>
        <color theme="1"/>
        <rFont val="Aptos"/>
        <family val="2"/>
      </rPr>
      <t>O</t>
    </r>
  </si>
  <si>
    <t>Emission factors [Default]</t>
  </si>
  <si>
    <r>
      <t>CO</t>
    </r>
    <r>
      <rPr>
        <vertAlign val="subscript"/>
        <sz val="12"/>
        <color theme="1"/>
        <rFont val="Roboto Light"/>
      </rPr>
      <t>2</t>
    </r>
    <r>
      <rPr>
        <sz val="12"/>
        <color theme="1"/>
        <rFont val="Roboto Light"/>
      </rPr>
      <t xml:space="preserve">         [kg/MWh]</t>
    </r>
  </si>
  <si>
    <r>
      <t>CH</t>
    </r>
    <r>
      <rPr>
        <vertAlign val="subscript"/>
        <sz val="12"/>
        <color theme="1"/>
        <rFont val="Roboto Light"/>
      </rPr>
      <t>4</t>
    </r>
    <r>
      <rPr>
        <sz val="12"/>
        <color theme="1"/>
        <rFont val="Roboto Light"/>
      </rPr>
      <t xml:space="preserve">           [g/MWh]</t>
    </r>
  </si>
  <si>
    <r>
      <t>N</t>
    </r>
    <r>
      <rPr>
        <vertAlign val="subscript"/>
        <sz val="11"/>
        <color theme="1"/>
        <rFont val="Roboto Light"/>
      </rPr>
      <t>2</t>
    </r>
    <r>
      <rPr>
        <sz val="12"/>
        <color theme="1"/>
        <rFont val="Roboto Light"/>
      </rPr>
      <t>O     [g/MWh]</t>
    </r>
  </si>
  <si>
    <t>Fuel</t>
  </si>
  <si>
    <t>type</t>
  </si>
  <si>
    <t>Emission factor (g/kg)                           [local] ^^</t>
  </si>
  <si>
    <r>
      <t>CO</t>
    </r>
    <r>
      <rPr>
        <vertAlign val="subscript"/>
        <sz val="12"/>
        <color theme="1"/>
        <rFont val="Roboto Light"/>
      </rPr>
      <t>2</t>
    </r>
    <r>
      <rPr>
        <sz val="12"/>
        <color theme="1"/>
        <rFont val="Roboto Light"/>
      </rPr>
      <t xml:space="preserve">               [kg/MWh]</t>
    </r>
  </si>
  <si>
    <t>Emission factor                                      [local]</t>
  </si>
  <si>
    <t>T3</t>
  </si>
  <si>
    <t>Cogeneration</t>
  </si>
  <si>
    <t>1.4.</t>
  </si>
  <si>
    <t>CHP Facility</t>
  </si>
  <si>
    <t>CHP Unit 1</t>
  </si>
  <si>
    <t>CHP Unit 2</t>
  </si>
  <si>
    <t>CHP Unit 3</t>
  </si>
  <si>
    <t>CHP Unit 4</t>
  </si>
  <si>
    <t>CHP Unit 5</t>
  </si>
  <si>
    <t>*CHP Facility</t>
  </si>
  <si>
    <r>
      <t xml:space="preserve">Emission factor </t>
    </r>
    <r>
      <rPr>
        <sz val="8"/>
        <color theme="1"/>
        <rFont val="Roboto Light"/>
      </rPr>
      <t>[electricity]</t>
    </r>
    <r>
      <rPr>
        <sz val="11"/>
        <color theme="1"/>
        <rFont val="Roboto Light"/>
      </rPr>
      <t xml:space="preserve"> (kgCO2e/MWh)</t>
    </r>
  </si>
  <si>
    <t>Default       value</t>
  </si>
  <si>
    <r>
      <t xml:space="preserve">Emission factor </t>
    </r>
    <r>
      <rPr>
        <sz val="8"/>
        <color theme="1"/>
        <rFont val="Roboto Light"/>
      </rPr>
      <t>[heat]</t>
    </r>
    <r>
      <rPr>
        <sz val="11"/>
        <color theme="1"/>
        <rFont val="Roboto Light"/>
      </rPr>
      <t xml:space="preserve"> (kgCO2e/MWh)</t>
    </r>
  </si>
  <si>
    <t>Quantity of electricity produced (MWh)</t>
  </si>
  <si>
    <t>Quantity of heat produced (MWh)</t>
  </si>
  <si>
    <t>* CHP = Combined heat and power plant (if no heat is produced, metionned 0 in the quantity of heat produced)</t>
  </si>
  <si>
    <t>Initial land cover type</t>
  </si>
  <si>
    <t>Land cover type</t>
  </si>
  <si>
    <t>Bare land</t>
  </si>
  <si>
    <t>Built-up areas</t>
  </si>
  <si>
    <t>Water</t>
  </si>
  <si>
    <t>Small, medium and large-scale agroforestry</t>
  </si>
  <si>
    <t>Final land-use</t>
  </si>
  <si>
    <t>Agroforestry</t>
  </si>
  <si>
    <t>Agroforestry system applied</t>
  </si>
  <si>
    <t>Agroforestry system</t>
  </si>
  <si>
    <t>Alley cropping</t>
  </si>
  <si>
    <t>Hedgerow</t>
  </si>
  <si>
    <t>Multistrata</t>
  </si>
  <si>
    <t>Oil palm</t>
  </si>
  <si>
    <t>Parkland</t>
  </si>
  <si>
    <t>Perennial fallow</t>
  </si>
  <si>
    <t>Rubber</t>
  </si>
  <si>
    <t>Shaded perennial</t>
  </si>
  <si>
    <t>Silvopasture</t>
  </si>
  <si>
    <t>Silvoarable</t>
  </si>
  <si>
    <t>Tea</t>
  </si>
  <si>
    <t>* The proportion of fuel used annually with an improved cookstove compared to a traditional cookstove (from the KPT)</t>
  </si>
  <si>
    <t>** The annual proportion of days/hours a household uses the improved cookstove (from household surveys)</t>
  </si>
  <si>
    <t>Biomass (tMS/ha)</t>
  </si>
  <si>
    <t>EF (tCO2eq/ha)</t>
  </si>
  <si>
    <t>Dense moist forest </t>
  </si>
  <si>
    <t>Dense dry forest </t>
  </si>
  <si>
    <t>Secondary forest </t>
  </si>
  <si>
    <t>Dry clear forest </t>
  </si>
  <si>
    <t>Sub-montane forest </t>
  </si>
  <si>
    <t>Montane forest </t>
  </si>
  <si>
    <t>Mangrove </t>
  </si>
  <si>
    <t>Swamp forest </t>
  </si>
  <si>
    <t>Gallery forest </t>
  </si>
  <si>
    <t>Forest plantation </t>
  </si>
  <si>
    <t>Wooden savannah </t>
  </si>
  <si>
    <t>Shrub savannah </t>
  </si>
  <si>
    <t>Grassland savannah </t>
  </si>
  <si>
    <t>Aquatic grassland </t>
  </si>
  <si>
    <t>Cultivated areas </t>
  </si>
  <si>
    <t>Tropical dry</t>
  </si>
  <si>
    <t>AGB storage rate (tC/ha/year)</t>
  </si>
  <si>
    <t>BGB storage rate (tC/ha/year)</t>
  </si>
  <si>
    <t>Tree density (tree/ha)</t>
  </si>
  <si>
    <t>Tropical moist</t>
  </si>
  <si>
    <t>AGB increment (tC/ha/year)</t>
  </si>
  <si>
    <t>BGB increment (tC/ha/year)</t>
  </si>
  <si>
    <t>Large-scale forest plantations</t>
  </si>
  <si>
    <t>Area (ha)</t>
  </si>
  <si>
    <t>Area burnt (ha)</t>
  </si>
  <si>
    <t>Natural regeneration</t>
  </si>
  <si>
    <t>Initial vegetation</t>
  </si>
  <si>
    <t>Maintained</t>
  </si>
  <si>
    <t>Totally burnt</t>
  </si>
  <si>
    <t>Partially burnt</t>
  </si>
  <si>
    <t>Removed, kept in</t>
  </si>
  <si>
    <t>Average savannah</t>
  </si>
  <si>
    <t>Initial vegetation  (tMS/ha)</t>
  </si>
  <si>
    <t>Initial vegetation (tCO2eq/ha)</t>
  </si>
  <si>
    <t>Final value</t>
  </si>
  <si>
    <t>Destination of the initial vegetation</t>
  </si>
  <si>
    <t>Forest plantation</t>
  </si>
  <si>
    <t>Main species planted</t>
  </si>
  <si>
    <t>Deforestation-free outgrower</t>
  </si>
  <si>
    <t>Agro-industrial expansion</t>
  </si>
  <si>
    <t>Sustainable intensification</t>
  </si>
  <si>
    <t>Species</t>
  </si>
  <si>
    <t xml:space="preserve">Growth (mm/year) </t>
  </si>
  <si>
    <t>Wood density (g/cm3)</t>
  </si>
  <si>
    <t>Zanthoxylum gilletii</t>
  </si>
  <si>
    <t>Afzelia africana</t>
  </si>
  <si>
    <t>Afzelia bipindensis</t>
  </si>
  <si>
    <t>Albizia ferruginea</t>
  </si>
  <si>
    <t>Albizia zygia</t>
  </si>
  <si>
    <t>Alstonia boonei</t>
  </si>
  <si>
    <t>Amphimas ferrugineus</t>
  </si>
  <si>
    <t>Amphimas pterocarpoides</t>
  </si>
  <si>
    <t>Anthonotha fragrans</t>
  </si>
  <si>
    <t>Antrocaryon klaineanum</t>
  </si>
  <si>
    <t>Antrocaryon micraster</t>
  </si>
  <si>
    <t>Antrocaryon nannanii</t>
  </si>
  <si>
    <t>Aucoumea klaineana</t>
  </si>
  <si>
    <t>Autranella congolensis</t>
  </si>
  <si>
    <t>Baillonella toxisperma</t>
  </si>
  <si>
    <t>Beilschmiedia louisii</t>
  </si>
  <si>
    <t>Berlinia confusa</t>
  </si>
  <si>
    <t>Berlinia grandiflora</t>
  </si>
  <si>
    <t>Bobgunnia fistuloides</t>
  </si>
  <si>
    <t>Bombax buonopozense</t>
  </si>
  <si>
    <t>Canarium schweinfurthii</t>
  </si>
  <si>
    <t>Ceiba pentandra</t>
  </si>
  <si>
    <t>Celtis mildbraedii</t>
  </si>
  <si>
    <t>Chrysophyllum africanum</t>
  </si>
  <si>
    <t>Chrysophyllum lacourtianum</t>
  </si>
  <si>
    <t>Chrysophyllum perpulchrum</t>
  </si>
  <si>
    <t>Coelocaryon preussii</t>
  </si>
  <si>
    <t>Cylicodiscus gabunensis</t>
  </si>
  <si>
    <t>Dacryodes normandii</t>
  </si>
  <si>
    <t>Daniellia ogea</t>
  </si>
  <si>
    <t>Detarium macrocarpum</t>
  </si>
  <si>
    <t>Diospyros crassiflora</t>
  </si>
  <si>
    <t>Entandrophragma candollei</t>
  </si>
  <si>
    <t>Entandrophragma cylindricum</t>
  </si>
  <si>
    <t>Entandrophragma utile</t>
  </si>
  <si>
    <t>Eribroma oblongum</t>
  </si>
  <si>
    <t>Erythrophleum ivorense</t>
  </si>
  <si>
    <t>Erythrophleum suaveolens</t>
  </si>
  <si>
    <t>Erythroxylum mannii</t>
  </si>
  <si>
    <t>Funtumia elastica</t>
  </si>
  <si>
    <t>Gilbertiodendron dewevrei</t>
  </si>
  <si>
    <t>Guibourtia ehie</t>
  </si>
  <si>
    <t>Guibourtia pellegriniana</t>
  </si>
  <si>
    <t>Khaya anthotheca</t>
  </si>
  <si>
    <t>Khaya grandifoliola</t>
  </si>
  <si>
    <t>Khaya ivorensis</t>
  </si>
  <si>
    <t>Leplaea cedrata</t>
  </si>
  <si>
    <t>Lophira alata</t>
  </si>
  <si>
    <t>Lovoa trichilioides</t>
  </si>
  <si>
    <t>Mammea africana</t>
  </si>
  <si>
    <t>Mansonia altissima</t>
  </si>
  <si>
    <t>Milicia excelsa</t>
  </si>
  <si>
    <t>Millettia laurentii</t>
  </si>
  <si>
    <t>Mitragyna ledermannii</t>
  </si>
  <si>
    <t>Nauclea diderrichii</t>
  </si>
  <si>
    <t>Nesogordonia kabingaensis</t>
  </si>
  <si>
    <t>Nesogordonia papaverifera</t>
  </si>
  <si>
    <t>Newtonia leucocarpa</t>
  </si>
  <si>
    <t>Ongokea gore</t>
  </si>
  <si>
    <t>Pachyelasma tessmannii</t>
  </si>
  <si>
    <t>Parinari excelsa</t>
  </si>
  <si>
    <t>Parkia bicolor</t>
  </si>
  <si>
    <t>Pentaclethra macrophylla</t>
  </si>
  <si>
    <t>Pericopsis elata</t>
  </si>
  <si>
    <t>Piptadeniastrum africanum</t>
  </si>
  <si>
    <t>Poga oleosa</t>
  </si>
  <si>
    <t>Pouteria aningeri</t>
  </si>
  <si>
    <t>Prioria balsamifera</t>
  </si>
  <si>
    <t>Prioria oxyphylla</t>
  </si>
  <si>
    <t>Pterocarpus mildbraedii</t>
  </si>
  <si>
    <t>Pterocarpus soyauxii</t>
  </si>
  <si>
    <t>Pterygota macrocarpa</t>
  </si>
  <si>
    <t>Pycnanthus angolensis</t>
  </si>
  <si>
    <t>Ricinodendron heudelotii</t>
  </si>
  <si>
    <t>Scorodophloeus zenkeri</t>
  </si>
  <si>
    <t>Staudtia kamerunensis</t>
  </si>
  <si>
    <t>Sterculia rhinopetala</t>
  </si>
  <si>
    <t>Sterculia tragacantha</t>
  </si>
  <si>
    <t>Tarrietia utilis</t>
  </si>
  <si>
    <t>Terminalia ivorensis</t>
  </si>
  <si>
    <t>Terminalia superba</t>
  </si>
  <si>
    <t>Tieghemella africana</t>
  </si>
  <si>
    <t>Triplochiton scleroxylon</t>
  </si>
  <si>
    <t>Distemonanthus benthamianus</t>
  </si>
  <si>
    <t>Entandrophragma angolense</t>
  </si>
  <si>
    <t>Plantation</t>
  </si>
  <si>
    <t>Size of the land under natural regeneration (ha)</t>
  </si>
  <si>
    <t>Type of the fire-break</t>
  </si>
  <si>
    <t>Fire-break</t>
  </si>
  <si>
    <t>Firebreak</t>
  </si>
  <si>
    <t>Not installed</t>
  </si>
  <si>
    <t>Installed</t>
  </si>
  <si>
    <t>Type of fire break</t>
  </si>
  <si>
    <t>Periodic fire</t>
  </si>
  <si>
    <t>Size of the fire-break (ha)</t>
  </si>
  <si>
    <t>2.1.</t>
  </si>
  <si>
    <t>2.2.</t>
  </si>
  <si>
    <t>2.3.</t>
  </si>
  <si>
    <t>3.1.</t>
  </si>
  <si>
    <t>3.2.</t>
  </si>
  <si>
    <t>3.3.</t>
  </si>
  <si>
    <t>4.1.</t>
  </si>
  <si>
    <t>4.2.</t>
  </si>
  <si>
    <t>4.3.</t>
  </si>
  <si>
    <t>Forest conservation</t>
  </si>
  <si>
    <t>Local value</t>
  </si>
  <si>
    <t>Deforestation</t>
  </si>
  <si>
    <t>Degradation</t>
  </si>
  <si>
    <t>Deforestation rate    (%)</t>
  </si>
  <si>
    <t>Biomass growth (tCO2e/ha/year)</t>
  </si>
  <si>
    <t>Forest Concessions Transitioning to Reduced Impact Logging for Climate (RIL-C)</t>
  </si>
  <si>
    <t>Transformation factories or equipment for sustainably sourced wood</t>
  </si>
  <si>
    <t>Logging units</t>
  </si>
  <si>
    <t>Land cover types within the conservation zone</t>
  </si>
  <si>
    <t>Logging Units</t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</si>
  <si>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</si>
  <si>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</si>
  <si>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</si>
  <si>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</si>
  <si>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</si>
  <si>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</si>
  <si>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</si>
  <si>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</si>
  <si>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Unit 9</t>
  </si>
  <si>
    <t>Unit 10</t>
  </si>
  <si>
    <t>Baseline</t>
  </si>
  <si>
    <t>Target</t>
  </si>
  <si>
    <t>Felled log length left (% left/ha)</t>
  </si>
  <si>
    <t>Felled trees abandoned (#aban./#logged)</t>
  </si>
  <si>
    <t>Trees killed by skidding (# killed/ha)</t>
  </si>
  <si>
    <r>
      <t>Area of haul road and log-landing corridors (m</t>
    </r>
    <r>
      <rPr>
        <vertAlign val="superscript"/>
        <sz val="11"/>
        <color theme="1"/>
        <rFont val="Aptos"/>
        <family val="2"/>
      </rPr>
      <t>2</t>
    </r>
    <r>
      <rPr>
        <sz val="11"/>
        <color theme="1"/>
        <rFont val="Aptos"/>
        <family val="2"/>
      </rPr>
      <t>/ha)</t>
    </r>
  </si>
  <si>
    <t>Logging intensity (#tree/ha)</t>
  </si>
  <si>
    <t>Emission factor RIL-C</t>
  </si>
  <si>
    <t>Felled trees abandoned (tC/ 1 trees / tree)</t>
  </si>
  <si>
    <t>Felled log length left (tC/ 1 % / ha)</t>
  </si>
  <si>
    <t>Parameter</t>
  </si>
  <si>
    <t>Trees killed by skidding (tC/ 1 tree/ha)</t>
  </si>
  <si>
    <t>Area of haul road and log-landing corridors (tC/m2/ha)</t>
  </si>
  <si>
    <t>Area effectively under RIL-C (ha)</t>
  </si>
  <si>
    <t>Charcoal production (ton/year) [target]</t>
  </si>
  <si>
    <t>Sector</t>
  </si>
  <si>
    <t>Energy</t>
  </si>
  <si>
    <t>Construction</t>
  </si>
  <si>
    <t>Activity</t>
  </si>
  <si>
    <t>DF</t>
  </si>
  <si>
    <t>Unit</t>
  </si>
  <si>
    <t>Replace heavy oil by wood waste</t>
  </si>
  <si>
    <t>Replace cement/sand piles by wood piles</t>
  </si>
  <si>
    <t>kgC/m3</t>
  </si>
  <si>
    <t>Replace metal furniture by wood furniture</t>
  </si>
  <si>
    <t>Wood-based buildings</t>
  </si>
  <si>
    <t>Other product</t>
  </si>
  <si>
    <t>Final use of the sustainably sourced wood processed in the factor</t>
  </si>
  <si>
    <r>
      <t>Volume of wood sustainably sourced wood processed (m</t>
    </r>
    <r>
      <rPr>
        <vertAlign val="superscript"/>
        <sz val="11"/>
        <color theme="1"/>
        <rFont val="Aptos"/>
        <family val="2"/>
      </rPr>
      <t>3</t>
    </r>
    <r>
      <rPr>
        <sz val="11"/>
        <color theme="1"/>
        <rFont val="Aptos"/>
        <family val="2"/>
      </rPr>
      <t>)</t>
    </r>
  </si>
  <si>
    <r>
      <t>Displacement factor (kg C/m</t>
    </r>
    <r>
      <rPr>
        <vertAlign val="superscript"/>
        <sz val="11"/>
        <color theme="1"/>
        <rFont val="Aptos"/>
        <family val="2"/>
      </rPr>
      <t>3</t>
    </r>
    <r>
      <rPr>
        <sz val="11"/>
        <color theme="1"/>
        <rFont val="Aptos"/>
        <family val="2"/>
      </rPr>
      <t>)</t>
    </r>
  </si>
  <si>
    <t>Rplace metal guardrails by wood guardrails</t>
  </si>
  <si>
    <t>Replace ceramic tile by wood flooring</t>
  </si>
  <si>
    <t>Replace bricks by sawnwood products</t>
  </si>
  <si>
    <t>Replace concrete by sawnwood products</t>
  </si>
  <si>
    <t>Replace primary steel by glued laminated timber</t>
  </si>
  <si>
    <t>Replace secondary steel by glued laminated timber</t>
  </si>
  <si>
    <t>Perennial crop</t>
  </si>
  <si>
    <t>Perennial cropping system deployed</t>
  </si>
  <si>
    <t>Management options</t>
  </si>
  <si>
    <t>Tillage management</t>
  </si>
  <si>
    <t>Imput of organic materials</t>
  </si>
  <si>
    <t>Full tillage</t>
  </si>
  <si>
    <t>Reduced tillage</t>
  </si>
  <si>
    <t>No tillage</t>
  </si>
  <si>
    <t>Organic matter</t>
  </si>
  <si>
    <t>Low C input</t>
  </si>
  <si>
    <t>Medium C input</t>
  </si>
  <si>
    <t>High C input, no manure</t>
  </si>
  <si>
    <t>High C input, with manure</t>
  </si>
  <si>
    <t>Residue management</t>
  </si>
  <si>
    <t>Burned</t>
  </si>
  <si>
    <t>Retained</t>
  </si>
  <si>
    <t>Exported</t>
  </si>
  <si>
    <t>Above-ground</t>
  </si>
  <si>
    <t>Below-ground</t>
  </si>
  <si>
    <t>Soil carbon</t>
  </si>
  <si>
    <t>Removal factors</t>
  </si>
  <si>
    <t>Tillage</t>
  </si>
  <si>
    <t>Input</t>
  </si>
  <si>
    <t>Residue</t>
  </si>
  <si>
    <t>Above-ground (tC/ha/year)</t>
  </si>
  <si>
    <t>Below-ground (tC/ha/year)</t>
  </si>
  <si>
    <t>Soil carbon (tC/ha)</t>
  </si>
  <si>
    <t>Emission factors (tC/ha/year) [Default]</t>
  </si>
  <si>
    <t>Removal factors  [Default]</t>
  </si>
  <si>
    <t xml:space="preserve">Emission factors (tC/ha/year) </t>
  </si>
  <si>
    <t>Afforestation &amp; Restauration</t>
  </si>
  <si>
    <t>Agriculture</t>
  </si>
  <si>
    <t>Forestry &amp; Conservation</t>
  </si>
  <si>
    <t>Activities reported</t>
  </si>
  <si>
    <t>PIREDD Maniema</t>
  </si>
  <si>
    <t>Project</t>
  </si>
  <si>
    <t>Enabel</t>
  </si>
  <si>
    <t>Project duration</t>
  </si>
  <si>
    <t>Total mitigation potential</t>
  </si>
  <si>
    <t>Chadrack Kafuti</t>
  </si>
  <si>
    <r>
      <t>tCO</t>
    </r>
    <r>
      <rPr>
        <vertAlign val="subscript"/>
        <sz val="24"/>
        <color theme="1"/>
        <rFont val="Aptos"/>
        <family val="2"/>
      </rPr>
      <t xml:space="preserve">2  </t>
    </r>
    <r>
      <rPr>
        <sz val="24"/>
        <color theme="1"/>
        <rFont val="Aptos Narrow"/>
        <family val="2"/>
        <scheme val="minor"/>
      </rPr>
      <t>eq.</t>
    </r>
  </si>
  <si>
    <t>Emission reduction</t>
  </si>
  <si>
    <t>Summary</t>
  </si>
  <si>
    <t>CAFI</t>
  </si>
  <si>
    <t xml:space="preserve">A tool for ex-ante and ex-post estimation of the mitigation potential of projects funded by CAFI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</si>
</sst>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_-;\-* #,##0.00_-;_-* &quot;-&quot;??_-;_-@_-"/>
    <numFmt numFmtId="165" formatCode="_ * #,##0.00_ ;_ * \-#,##0.00_ ;_ * &quot;-&quot;??_ ;_ @_ "/>
    <numFmt numFmtId="166" formatCode="mm/dd/yy;@"/>
    <numFmt numFmtId="167" formatCode="0.0"/>
    <numFmt numFmtId="168" formatCode="0.000000"/>
    <numFmt numFmtId="169" formatCode="0.000"/>
    <numFmt numFmtId="170" formatCode="0.0000"/>
  </numFmts>
  <fonts count="51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Roboto Light"/>
    </font>
    <font>
      <b/>
      <sz val="14"/>
      <color theme="0"/>
      <name val="Roboto Light"/>
    </font>
    <font>
      <sz val="12"/>
      <name val="Roboto Light"/>
    </font>
    <font>
      <b/>
      <sz val="12"/>
      <name val="Roboto Light"/>
    </font>
    <font>
      <b/>
      <sz val="12"/>
      <color theme="0" tint="-0.14999847407452621"/>
      <name val="Roboto Light"/>
    </font>
    <font>
      <b/>
      <sz val="12"/>
      <color theme="8" tint="0.59999389629810485"/>
      <name val="Roboto Light"/>
    </font>
    <font>
      <sz val="12"/>
      <color theme="8" tint="0.59999389629810485"/>
      <name val="Roboto Light"/>
    </font>
    <font>
      <sz val="14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20"/>
      <color theme="5" tint="0.39997558519241921"/>
      <name val="Aptos Narrow"/>
      <family val="2"/>
      <scheme val="minor"/>
    </font>
    <font>
      <i/>
      <sz val="11"/>
      <color theme="1"/>
      <name val="Roboto Light"/>
    </font>
    <font>
      <sz val="8"/>
      <name val="Aptos Narrow"/>
      <family val="2"/>
      <scheme val="minor"/>
    </font>
    <font>
      <sz val="11"/>
      <color theme="1"/>
      <name val="Aptos"/>
      <family val="2"/>
    </font>
    <font>
      <vertAlign val="subscript"/>
      <sz val="11"/>
      <color theme="1"/>
      <name val="Aptos"/>
      <family val="2"/>
    </font>
    <font>
      <sz val="11"/>
      <color rgb="FFFF0000"/>
      <name val="Aptos Narrow"/>
      <family val="2"/>
      <scheme val="minor"/>
    </font>
    <font>
      <sz val="14"/>
      <name val="Roboto Light"/>
    </font>
    <font>
      <sz val="11"/>
      <color theme="3" tint="0.249977111117893"/>
      <name val="Aptos Narrow"/>
      <family val="2"/>
      <scheme val="minor"/>
    </font>
    <font>
      <sz val="12"/>
      <color theme="1"/>
      <name val="Roboto Light"/>
    </font>
    <font>
      <b/>
      <sz val="11"/>
      <color theme="1"/>
      <name val="Roboto Light"/>
    </font>
    <font>
      <b/>
      <sz val="11"/>
      <color theme="0" tint="-0.1499984740745262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"/>
      <family val="2"/>
    </font>
    <font>
      <vertAlign val="subscript"/>
      <sz val="12"/>
      <color theme="1"/>
      <name val="Aptos"/>
      <family val="2"/>
    </font>
    <font>
      <sz val="10"/>
      <color theme="9" tint="-0.249977111117893"/>
      <name val="Roboto Light"/>
    </font>
    <font>
      <b/>
      <sz val="12"/>
      <color theme="7" tint="-0.249977111117893"/>
      <name val="Aptos Narrow"/>
      <family val="2"/>
      <scheme val="minor"/>
    </font>
    <font>
      <b/>
      <sz val="12"/>
      <color theme="0"/>
      <name val="Roboto Light"/>
    </font>
    <font>
      <vertAlign val="subscript"/>
      <sz val="12"/>
      <color theme="1"/>
      <name val="Roboto Light"/>
    </font>
    <font>
      <vertAlign val="subscript"/>
      <sz val="11"/>
      <color theme="1"/>
      <name val="Roboto Light"/>
    </font>
    <font>
      <b/>
      <sz val="9"/>
      <color theme="0"/>
      <name val="Roboto Light"/>
    </font>
    <font>
      <sz val="11"/>
      <color theme="0"/>
      <name val="Aptos Narrow"/>
      <family val="2"/>
      <scheme val="minor"/>
    </font>
    <font>
      <sz val="8"/>
      <color theme="1"/>
      <name val="Roboto Light"/>
    </font>
    <font>
      <sz val="11"/>
      <name val="Roboto Light"/>
    </font>
    <font>
      <sz val="11"/>
      <color rgb="FFC00000"/>
      <name val="Aptos Narrow"/>
      <family val="2"/>
      <scheme val="minor"/>
    </font>
    <font>
      <vertAlign val="superscript"/>
      <sz val="11"/>
      <color theme="1"/>
      <name val="Aptos"/>
      <family val="2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vertAlign val="subscript"/>
      <sz val="24"/>
      <color theme="1"/>
      <name val="Aptos"/>
      <family val="2"/>
    </font>
    <font>
      <i/>
      <sz val="12"/>
      <color rgb="FF0070C0"/>
      <name val="Roboto Light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dotted">
        <color theme="0" tint="-0.4999847407452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dotted">
        <color theme="0" tint="-0.499984740745262"/>
      </bottom>
      <diagonal/>
    </border>
    <border>
      <left/>
      <right style="medium">
        <color indexed="64"/>
      </right>
      <top style="thin">
        <color indexed="64"/>
      </top>
      <bottom style="dotted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tted">
        <color theme="0" tint="-0.499984740745262"/>
      </top>
      <bottom/>
      <diagonal/>
    </border>
    <border>
      <left style="thin">
        <color indexed="64"/>
      </left>
      <right/>
      <top/>
      <bottom style="dotted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70">
    <xf numFmtId="0" fontId="0" fillId="0" borderId="0" xfId="0"/>
    <xf numFmtId="0" fontId="0" fillId="2" borderId="0" xfId="0" applyFill="1"/>
    <xf numFmtId="0" fontId="4" fillId="3" borderId="0" xfId="0" applyFont="1" applyFill="1"/>
    <xf numFmtId="0" fontId="4" fillId="3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166" fontId="10" fillId="3" borderId="0" xfId="0" applyNumberFormat="1" applyFont="1" applyFill="1" applyAlignment="1">
      <alignment horizontal="center" vertical="top" wrapText="1"/>
    </xf>
    <xf numFmtId="0" fontId="7" fillId="0" borderId="16" xfId="0" applyFont="1" applyBorder="1" applyAlignment="1" applyProtection="1">
      <alignment vertical="center" wrapText="1"/>
      <protection locked="0"/>
    </xf>
    <xf numFmtId="0" fontId="0" fillId="3" borderId="0" xfId="0" applyFill="1"/>
    <xf numFmtId="0" fontId="12" fillId="0" borderId="0" xfId="0" applyFont="1"/>
    <xf numFmtId="0" fontId="21" fillId="2" borderId="0" xfId="0" applyFont="1" applyFill="1"/>
    <xf numFmtId="0" fontId="22" fillId="3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/>
    </xf>
    <xf numFmtId="9" fontId="4" fillId="5" borderId="0" xfId="2" applyFont="1" applyFill="1" applyAlignment="1">
      <alignment horizontal="center" vertical="center"/>
    </xf>
    <xf numFmtId="0" fontId="17" fillId="3" borderId="0" xfId="0" applyFont="1" applyFill="1" applyAlignment="1">
      <alignment vertical="center"/>
    </xf>
    <xf numFmtId="167" fontId="0" fillId="0" borderId="1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19" fillId="0" borderId="0" xfId="0" applyNumberFormat="1" applyFont="1" applyAlignment="1">
      <alignment horizontal="center" vertical="center"/>
    </xf>
    <xf numFmtId="167" fontId="19" fillId="0" borderId="22" xfId="0" applyNumberFormat="1" applyFont="1" applyBorder="1" applyAlignment="1">
      <alignment horizontal="center" vertical="center"/>
    </xf>
    <xf numFmtId="167" fontId="25" fillId="0" borderId="0" xfId="0" applyNumberFormat="1" applyFont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8" xfId="0" applyFont="1" applyFill="1" applyBorder="1" applyAlignment="1">
      <alignment horizontal="center" vertical="center"/>
    </xf>
    <xf numFmtId="167" fontId="0" fillId="0" borderId="29" xfId="0" applyNumberFormat="1" applyBorder="1" applyAlignment="1">
      <alignment horizontal="center" vertical="center"/>
    </xf>
    <xf numFmtId="167" fontId="0" fillId="0" borderId="19" xfId="0" applyNumberFormat="1" applyBorder="1" applyAlignment="1">
      <alignment horizontal="center" vertical="center"/>
    </xf>
    <xf numFmtId="167" fontId="0" fillId="0" borderId="28" xfId="0" applyNumberFormat="1" applyBorder="1" applyAlignment="1">
      <alignment horizontal="center" vertical="center"/>
    </xf>
    <xf numFmtId="167" fontId="25" fillId="0" borderId="19" xfId="0" applyNumberFormat="1" applyFont="1" applyBorder="1" applyAlignment="1">
      <alignment horizontal="center" vertical="center"/>
    </xf>
    <xf numFmtId="167" fontId="0" fillId="0" borderId="8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3" fillId="0" borderId="13" xfId="0" applyFont="1" applyBorder="1" applyAlignment="1">
      <alignment horizontal="right"/>
    </xf>
    <xf numFmtId="0" fontId="3" fillId="0" borderId="15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24" fillId="0" borderId="15" xfId="0" applyFont="1" applyBorder="1" applyAlignment="1">
      <alignment horizontal="right"/>
    </xf>
    <xf numFmtId="0" fontId="3" fillId="0" borderId="7" xfId="0" applyFont="1" applyBorder="1" applyAlignment="1">
      <alignment horizontal="right"/>
    </xf>
    <xf numFmtId="0" fontId="0" fillId="0" borderId="8" xfId="0" applyBorder="1"/>
    <xf numFmtId="0" fontId="0" fillId="0" borderId="1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22" xfId="0" applyBorder="1" applyAlignment="1">
      <alignment horizontal="right"/>
    </xf>
    <xf numFmtId="0" fontId="25" fillId="0" borderId="0" xfId="0" applyFont="1" applyAlignment="1">
      <alignment horizontal="right"/>
    </xf>
    <xf numFmtId="0" fontId="0" fillId="0" borderId="8" xfId="0" applyBorder="1" applyAlignment="1">
      <alignment horizontal="right"/>
    </xf>
    <xf numFmtId="0" fontId="3" fillId="6" borderId="27" xfId="0" applyFont="1" applyFill="1" applyBorder="1" applyAlignment="1">
      <alignment horizontal="center" vertical="center"/>
    </xf>
    <xf numFmtId="0" fontId="0" fillId="0" borderId="7" xfId="0" applyBorder="1"/>
    <xf numFmtId="0" fontId="0" fillId="0" borderId="9" xfId="0" applyBorder="1"/>
    <xf numFmtId="167" fontId="19" fillId="0" borderId="19" xfId="0" applyNumberFormat="1" applyFont="1" applyBorder="1" applyAlignment="1">
      <alignment horizontal="center" vertical="center"/>
    </xf>
    <xf numFmtId="167" fontId="19" fillId="0" borderId="28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169" fontId="0" fillId="0" borderId="8" xfId="0" applyNumberFormat="1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38" fontId="4" fillId="3" borderId="0" xfId="0" applyNumberFormat="1" applyFont="1" applyFill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168" fontId="0" fillId="0" borderId="8" xfId="0" applyNumberFormat="1" applyBorder="1" applyAlignment="1">
      <alignment horizontal="center" vertical="center"/>
    </xf>
    <xf numFmtId="168" fontId="0" fillId="0" borderId="9" xfId="0" applyNumberForma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7" fillId="0" borderId="33" xfId="0" applyFont="1" applyBorder="1" applyAlignment="1" applyProtection="1">
      <alignment vertical="center" wrapText="1"/>
      <protection locked="0"/>
    </xf>
    <xf numFmtId="0" fontId="0" fillId="0" borderId="34" xfId="0" applyBorder="1"/>
    <xf numFmtId="0" fontId="0" fillId="0" borderId="34" xfId="0" applyBorder="1" applyAlignment="1">
      <alignment horizontal="center"/>
    </xf>
    <xf numFmtId="0" fontId="27" fillId="0" borderId="34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 wrapText="1"/>
    </xf>
    <xf numFmtId="169" fontId="0" fillId="0" borderId="34" xfId="0" applyNumberFormat="1" applyBorder="1" applyAlignment="1">
      <alignment horizontal="center"/>
    </xf>
    <xf numFmtId="0" fontId="22" fillId="3" borderId="0" xfId="0" applyFont="1" applyFill="1" applyAlignment="1">
      <alignment horizontal="center" vertical="top"/>
    </xf>
    <xf numFmtId="0" fontId="22" fillId="3" borderId="0" xfId="0" applyFont="1" applyFill="1" applyAlignment="1">
      <alignment horizontal="center"/>
    </xf>
    <xf numFmtId="0" fontId="22" fillId="5" borderId="0" xfId="0" applyFont="1" applyFill="1" applyAlignment="1">
      <alignment horizontal="center" vertical="center"/>
    </xf>
    <xf numFmtId="0" fontId="29" fillId="3" borderId="0" xfId="0" applyFont="1" applyFill="1" applyAlignment="1">
      <alignment vertical="center"/>
    </xf>
    <xf numFmtId="38" fontId="4" fillId="5" borderId="0" xfId="2" applyNumberFormat="1" applyFont="1" applyFill="1" applyAlignment="1">
      <alignment horizontal="center" vertical="center"/>
    </xf>
    <xf numFmtId="0" fontId="4" fillId="5" borderId="0" xfId="2" applyNumberFormat="1" applyFont="1" applyFill="1" applyAlignment="1">
      <alignment horizontal="center" vertical="center"/>
    </xf>
    <xf numFmtId="0" fontId="5" fillId="7" borderId="0" xfId="0" applyFont="1" applyFill="1" applyAlignment="1">
      <alignment vertical="center"/>
    </xf>
    <xf numFmtId="0" fontId="22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34" xfId="0" applyFont="1" applyBorder="1" applyAlignment="1">
      <alignment wrapText="1"/>
    </xf>
    <xf numFmtId="0" fontId="4" fillId="3" borderId="0" xfId="0" applyFont="1" applyFill="1" applyAlignment="1">
      <alignment vertical="center" wrapText="1"/>
    </xf>
    <xf numFmtId="38" fontId="23" fillId="3" borderId="0" xfId="0" applyNumberFormat="1" applyFont="1" applyFill="1" applyAlignment="1">
      <alignment vertical="center"/>
    </xf>
    <xf numFmtId="0" fontId="7" fillId="0" borderId="35" xfId="0" applyFont="1" applyBorder="1" applyAlignment="1" applyProtection="1">
      <alignment vertical="center" wrapText="1"/>
      <protection locked="0"/>
    </xf>
    <xf numFmtId="0" fontId="34" fillId="7" borderId="0" xfId="0" applyFont="1" applyFill="1" applyAlignment="1">
      <alignment vertical="center" textRotation="255"/>
    </xf>
    <xf numFmtId="0" fontId="7" fillId="0" borderId="16" xfId="0" applyFont="1" applyBorder="1" applyAlignment="1" applyProtection="1">
      <alignment horizontal="center" vertical="center" wrapText="1"/>
      <protection locked="0"/>
    </xf>
    <xf numFmtId="38" fontId="23" fillId="3" borderId="0" xfId="0" applyNumberFormat="1" applyFont="1" applyFill="1" applyAlignment="1">
      <alignment horizontal="center" vertical="center"/>
    </xf>
    <xf numFmtId="0" fontId="35" fillId="0" borderId="0" xfId="0" applyFont="1"/>
    <xf numFmtId="38" fontId="23" fillId="3" borderId="22" xfId="0" applyNumberFormat="1" applyFont="1" applyFill="1" applyBorder="1" applyAlignment="1">
      <alignment horizontal="center" vertical="center"/>
    </xf>
    <xf numFmtId="0" fontId="0" fillId="8" borderId="0" xfId="0" applyFill="1"/>
    <xf numFmtId="0" fontId="11" fillId="8" borderId="0" xfId="0" applyFont="1" applyFill="1" applyAlignment="1">
      <alignment vertical="center"/>
    </xf>
    <xf numFmtId="3" fontId="0" fillId="0" borderId="34" xfId="0" applyNumberFormat="1" applyBorder="1" applyAlignment="1">
      <alignment horizont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center" wrapText="1"/>
    </xf>
    <xf numFmtId="0" fontId="0" fillId="0" borderId="34" xfId="0" applyBorder="1" applyAlignment="1">
      <alignment horizontal="center" vertical="center"/>
    </xf>
    <xf numFmtId="38" fontId="4" fillId="3" borderId="0" xfId="0" applyNumberFormat="1" applyFont="1" applyFill="1" applyAlignment="1">
      <alignment vertical="center"/>
    </xf>
    <xf numFmtId="9" fontId="4" fillId="3" borderId="0" xfId="2" applyFont="1" applyFill="1" applyBorder="1" applyAlignment="1">
      <alignment horizontal="center" vertical="center"/>
    </xf>
    <xf numFmtId="0" fontId="4" fillId="5" borderId="0" xfId="2" applyNumberFormat="1" applyFont="1" applyFill="1" applyBorder="1" applyAlignment="1">
      <alignment horizontal="center" vertical="center"/>
    </xf>
    <xf numFmtId="0" fontId="0" fillId="0" borderId="38" xfId="0" applyBorder="1"/>
    <xf numFmtId="3" fontId="0" fillId="0" borderId="0" xfId="0" applyNumberFormat="1"/>
    <xf numFmtId="0" fontId="0" fillId="0" borderId="34" xfId="0" applyBorder="1" applyAlignment="1">
      <alignment vertical="center" wrapText="1"/>
    </xf>
    <xf numFmtId="0" fontId="3" fillId="10" borderId="34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left"/>
    </xf>
    <xf numFmtId="0" fontId="3" fillId="0" borderId="34" xfId="0" applyFont="1" applyBorder="1" applyAlignment="1">
      <alignment horizontal="center" vertical="center" wrapText="1"/>
    </xf>
    <xf numFmtId="169" fontId="0" fillId="0" borderId="34" xfId="0" applyNumberFormat="1" applyBorder="1" applyAlignment="1">
      <alignment horizontal="center" vertical="center"/>
    </xf>
    <xf numFmtId="169" fontId="4" fillId="5" borderId="0" xfId="2" applyNumberFormat="1" applyFont="1" applyFill="1" applyBorder="1" applyAlignment="1">
      <alignment horizontal="center" vertical="center"/>
    </xf>
    <xf numFmtId="2" fontId="4" fillId="5" borderId="0" xfId="2" applyNumberFormat="1" applyFont="1" applyFill="1" applyBorder="1" applyAlignment="1">
      <alignment horizontal="center" vertical="center"/>
    </xf>
    <xf numFmtId="0" fontId="3" fillId="10" borderId="34" xfId="0" applyFont="1" applyFill="1" applyBorder="1" applyAlignment="1">
      <alignment vertical="center"/>
    </xf>
    <xf numFmtId="0" fontId="0" fillId="0" borderId="34" xfId="0" applyBorder="1" applyAlignment="1">
      <alignment wrapText="1"/>
    </xf>
    <xf numFmtId="9" fontId="0" fillId="0" borderId="34" xfId="0" applyNumberFormat="1" applyBorder="1"/>
    <xf numFmtId="0" fontId="4" fillId="8" borderId="0" xfId="0" applyFont="1" applyFill="1" applyAlignment="1">
      <alignment vertical="center"/>
    </xf>
    <xf numFmtId="0" fontId="4" fillId="8" borderId="0" xfId="0" applyFont="1" applyFill="1" applyAlignment="1">
      <alignment vertical="center" wrapText="1"/>
    </xf>
    <xf numFmtId="0" fontId="17" fillId="8" borderId="0" xfId="0" applyFont="1" applyFill="1" applyAlignment="1">
      <alignment vertical="center"/>
    </xf>
    <xf numFmtId="38" fontId="4" fillId="8" borderId="0" xfId="0" applyNumberFormat="1" applyFont="1" applyFill="1" applyAlignment="1">
      <alignment vertical="center"/>
    </xf>
    <xf numFmtId="0" fontId="34" fillId="8" borderId="0" xfId="0" applyFont="1" applyFill="1" applyAlignment="1">
      <alignment vertical="center" textRotation="255"/>
    </xf>
    <xf numFmtId="0" fontId="38" fillId="0" borderId="0" xfId="0" applyFont="1"/>
    <xf numFmtId="10" fontId="4" fillId="5" borderId="0" xfId="2" applyNumberFormat="1" applyFont="1" applyFill="1" applyBorder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17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vertical="center" wrapText="1"/>
    </xf>
    <xf numFmtId="0" fontId="17" fillId="3" borderId="10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19" xfId="0" applyBorder="1"/>
    <xf numFmtId="0" fontId="0" fillId="5" borderId="15" xfId="0" applyFill="1" applyBorder="1"/>
    <xf numFmtId="0" fontId="0" fillId="5" borderId="0" xfId="0" applyFill="1"/>
    <xf numFmtId="0" fontId="0" fillId="5" borderId="19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38" fontId="43" fillId="14" borderId="0" xfId="0" applyNumberFormat="1" applyFont="1" applyFill="1" applyAlignment="1">
      <alignment vertical="center"/>
    </xf>
    <xf numFmtId="38" fontId="0" fillId="0" borderId="0" xfId="0" applyNumberFormat="1"/>
    <xf numFmtId="9" fontId="4" fillId="4" borderId="0" xfId="2" applyFont="1" applyFill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38" fontId="4" fillId="4" borderId="0" xfId="2" applyNumberFormat="1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38" fontId="22" fillId="4" borderId="0" xfId="2" applyNumberFormat="1" applyFont="1" applyFill="1" applyBorder="1" applyAlignment="1" applyProtection="1">
      <alignment horizontal="center" vertical="center"/>
      <protection locked="0"/>
    </xf>
    <xf numFmtId="9" fontId="22" fillId="4" borderId="0" xfId="2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38" fontId="4" fillId="4" borderId="0" xfId="2" applyNumberFormat="1" applyFont="1" applyFill="1" applyBorder="1" applyAlignment="1" applyProtection="1">
      <alignment horizontal="center" vertical="center"/>
      <protection locked="0"/>
    </xf>
    <xf numFmtId="2" fontId="4" fillId="4" borderId="0" xfId="2" applyNumberFormat="1" applyFont="1" applyFill="1" applyBorder="1" applyAlignment="1" applyProtection="1">
      <alignment horizontal="center" vertical="center"/>
      <protection locked="0"/>
    </xf>
    <xf numFmtId="10" fontId="4" fillId="4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0" xfId="2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4" fillId="4" borderId="0" xfId="2" applyNumberFormat="1" applyFont="1" applyFill="1" applyAlignment="1" applyProtection="1">
      <alignment horizontal="center" vertical="center"/>
      <protection locked="0"/>
    </xf>
    <xf numFmtId="0" fontId="0" fillId="8" borderId="0" xfId="0" applyFill="1" applyProtection="1">
      <protection locked="0"/>
    </xf>
    <xf numFmtId="0" fontId="0" fillId="8" borderId="19" xfId="0" applyFill="1" applyBorder="1" applyProtection="1">
      <protection locked="0"/>
    </xf>
    <xf numFmtId="0" fontId="0" fillId="8" borderId="15" xfId="0" applyFill="1" applyBorder="1"/>
    <xf numFmtId="0" fontId="0" fillId="8" borderId="19" xfId="0" applyFill="1" applyBorder="1"/>
    <xf numFmtId="0" fontId="0" fillId="8" borderId="15" xfId="0" applyFill="1" applyBorder="1" applyAlignment="1">
      <alignment horizontal="right" wrapText="1"/>
    </xf>
    <xf numFmtId="0" fontId="0" fillId="8" borderId="0" xfId="0" applyFill="1" applyAlignment="1">
      <alignment horizontal="right"/>
    </xf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3" borderId="15" xfId="0" applyFill="1" applyBorder="1"/>
    <xf numFmtId="0" fontId="0" fillId="3" borderId="19" xfId="0" applyFill="1" applyBorder="1"/>
    <xf numFmtId="0" fontId="0" fillId="3" borderId="0" xfId="0" applyFill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 wrapText="1"/>
    </xf>
    <xf numFmtId="0" fontId="0" fillId="3" borderId="15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8" xfId="0" applyFill="1" applyBorder="1"/>
    <xf numFmtId="0" fontId="0" fillId="3" borderId="9" xfId="0" applyFill="1" applyBorder="1"/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22" xfId="0" applyFill="1" applyBorder="1"/>
    <xf numFmtId="0" fontId="27" fillId="3" borderId="22" xfId="0" applyFont="1" applyFill="1" applyBorder="1" applyAlignment="1">
      <alignment horizontal="center" vertical="center"/>
    </xf>
    <xf numFmtId="0" fontId="26" fillId="3" borderId="22" xfId="0" applyFont="1" applyFill="1" applyBorder="1" applyAlignment="1">
      <alignment horizontal="center" vertical="center"/>
    </xf>
    <xf numFmtId="0" fontId="26" fillId="3" borderId="22" xfId="0" applyFont="1" applyFill="1" applyBorder="1" applyAlignment="1">
      <alignment horizontal="center" vertical="center" wrapText="1"/>
    </xf>
    <xf numFmtId="0" fontId="0" fillId="3" borderId="27" xfId="0" applyFill="1" applyBorder="1"/>
    <xf numFmtId="0" fontId="0" fillId="3" borderId="28" xfId="0" applyFill="1" applyBorder="1" applyAlignment="1">
      <alignment horizontal="center" vertical="center"/>
    </xf>
    <xf numFmtId="38" fontId="26" fillId="3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3" borderId="19" xfId="0" applyFill="1" applyBorder="1" applyAlignment="1">
      <alignment horizontal="center"/>
    </xf>
    <xf numFmtId="0" fontId="0" fillId="3" borderId="7" xfId="0" applyFill="1" applyBorder="1"/>
    <xf numFmtId="0" fontId="31" fillId="3" borderId="0" xfId="0" applyFont="1" applyFill="1" applyAlignment="1">
      <alignment vertical="center" wrapText="1"/>
    </xf>
    <xf numFmtId="0" fontId="0" fillId="3" borderId="22" xfId="0" applyFill="1" applyBorder="1" applyAlignment="1">
      <alignment horizontal="right" vertical="center"/>
    </xf>
    <xf numFmtId="0" fontId="0" fillId="3" borderId="22" xfId="0" applyFill="1" applyBorder="1" applyAlignment="1">
      <alignment vertical="center"/>
    </xf>
    <xf numFmtId="0" fontId="0" fillId="3" borderId="22" xfId="0" applyFill="1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9" fontId="26" fillId="3" borderId="0" xfId="0" applyNumberFormat="1" applyFont="1" applyFill="1" applyAlignment="1">
      <alignment horizontal="center" vertical="center"/>
    </xf>
    <xf numFmtId="0" fontId="42" fillId="13" borderId="15" xfId="0" applyFont="1" applyFill="1" applyBorder="1" applyAlignment="1">
      <alignment wrapText="1"/>
    </xf>
    <xf numFmtId="0" fontId="42" fillId="13" borderId="0" xfId="0" applyFont="1" applyFill="1" applyAlignment="1">
      <alignment wrapText="1"/>
    </xf>
    <xf numFmtId="0" fontId="42" fillId="13" borderId="19" xfId="0" applyFont="1" applyFill="1" applyBorder="1" applyAlignment="1">
      <alignment wrapText="1"/>
    </xf>
    <xf numFmtId="0" fontId="49" fillId="13" borderId="15" xfId="0" applyFont="1" applyFill="1" applyBorder="1" applyAlignment="1">
      <alignment vertical="center" wrapText="1"/>
    </xf>
    <xf numFmtId="0" fontId="42" fillId="13" borderId="15" xfId="0" applyFont="1" applyFill="1" applyBorder="1" applyAlignment="1">
      <alignment vertical="center" wrapText="1"/>
    </xf>
    <xf numFmtId="0" fontId="42" fillId="13" borderId="0" xfId="0" applyFont="1" applyFill="1" applyAlignment="1">
      <alignment vertical="center" wrapText="1"/>
    </xf>
    <xf numFmtId="0" fontId="42" fillId="13" borderId="19" xfId="0" applyFont="1" applyFill="1" applyBorder="1" applyAlignment="1">
      <alignment vertical="center" wrapText="1"/>
    </xf>
    <xf numFmtId="0" fontId="42" fillId="13" borderId="7" xfId="0" applyFont="1" applyFill="1" applyBorder="1" applyAlignment="1">
      <alignment vertical="center" wrapText="1"/>
    </xf>
    <xf numFmtId="0" fontId="42" fillId="13" borderId="8" xfId="0" applyFont="1" applyFill="1" applyBorder="1" applyAlignment="1">
      <alignment vertical="center" wrapText="1"/>
    </xf>
    <xf numFmtId="0" fontId="42" fillId="13" borderId="9" xfId="0" applyFont="1" applyFill="1" applyBorder="1" applyAlignment="1">
      <alignment vertical="center" wrapText="1"/>
    </xf>
    <xf numFmtId="0" fontId="7" fillId="0" borderId="9" xfId="0" applyFont="1" applyBorder="1" applyAlignment="1">
      <alignment horizontal="center" vertical="center" wrapText="1"/>
    </xf>
    <xf numFmtId="0" fontId="0" fillId="3" borderId="0" xfId="0" applyFill="1" applyAlignment="1">
      <alignment horizontal="right" vertical="center" wrapText="1"/>
    </xf>
    <xf numFmtId="170" fontId="0" fillId="3" borderId="0" xfId="0" applyNumberFormat="1" applyFill="1" applyAlignment="1">
      <alignment horizontal="center" vertical="center"/>
    </xf>
    <xf numFmtId="170" fontId="0" fillId="3" borderId="22" xfId="0" applyNumberFormat="1" applyFill="1" applyBorder="1" applyAlignment="1">
      <alignment horizontal="center" vertical="center"/>
    </xf>
    <xf numFmtId="170" fontId="0" fillId="3" borderId="10" xfId="0" applyNumberFormat="1" applyFill="1" applyBorder="1" applyAlignment="1">
      <alignment horizontal="center" vertical="center"/>
    </xf>
    <xf numFmtId="0" fontId="0" fillId="3" borderId="22" xfId="0" applyFill="1" applyBorder="1" applyAlignment="1">
      <alignment horizontal="right" vertical="center"/>
    </xf>
    <xf numFmtId="0" fontId="31" fillId="2" borderId="4" xfId="0" applyFont="1" applyFill="1" applyBorder="1" applyAlignment="1">
      <alignment horizontal="center" vertical="center" wrapText="1"/>
    </xf>
    <xf numFmtId="0" fontId="31" fillId="2" borderId="5" xfId="0" applyFont="1" applyFill="1" applyBorder="1" applyAlignment="1">
      <alignment horizontal="center" vertical="center" wrapText="1"/>
    </xf>
    <xf numFmtId="0" fontId="31" fillId="2" borderId="6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right" vertical="center" wrapText="1"/>
    </xf>
    <xf numFmtId="170" fontId="0" fillId="3" borderId="10" xfId="0" applyNumberFormat="1" applyFill="1" applyBorder="1" applyAlignment="1">
      <alignment horizontal="center" vertical="center" wrapText="1"/>
    </xf>
    <xf numFmtId="170" fontId="0" fillId="3" borderId="0" xfId="0" applyNumberFormat="1" applyFill="1" applyAlignment="1">
      <alignment horizontal="center" vertical="center" wrapText="1"/>
    </xf>
    <xf numFmtId="0" fontId="26" fillId="3" borderId="0" xfId="0" applyFont="1" applyFill="1" applyAlignment="1">
      <alignment horizontal="right" vertical="center" wrapText="1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38" fontId="26" fillId="3" borderId="0" xfId="0" applyNumberFormat="1" applyFont="1" applyFill="1" applyAlignment="1">
      <alignment horizontal="right" vertical="center" wrapText="1"/>
    </xf>
    <xf numFmtId="38" fontId="30" fillId="3" borderId="0" xfId="0" applyNumberFormat="1" applyFont="1" applyFill="1" applyAlignment="1">
      <alignment horizontal="right" vertical="center" wrapText="1"/>
    </xf>
    <xf numFmtId="0" fontId="27" fillId="3" borderId="22" xfId="0" applyFont="1" applyFill="1" applyBorder="1" applyAlignment="1">
      <alignment horizontal="center" vertical="center" wrapText="1"/>
    </xf>
    <xf numFmtId="38" fontId="26" fillId="3" borderId="0" xfId="0" applyNumberFormat="1" applyFont="1" applyFill="1" applyAlignment="1">
      <alignment horizontal="center" vertical="center"/>
    </xf>
    <xf numFmtId="0" fontId="0" fillId="3" borderId="15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5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 wrapText="1"/>
    </xf>
    <xf numFmtId="0" fontId="26" fillId="3" borderId="15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horizontal="center" vertical="center" wrapText="1"/>
    </xf>
    <xf numFmtId="166" fontId="10" fillId="3" borderId="0" xfId="0" applyNumberFormat="1" applyFont="1" applyFill="1" applyAlignment="1">
      <alignment horizontal="center" vertical="top" wrapText="1"/>
    </xf>
    <xf numFmtId="0" fontId="3" fillId="11" borderId="15" xfId="0" applyFont="1" applyFill="1" applyBorder="1" applyAlignment="1">
      <alignment horizontal="right" wrapText="1"/>
    </xf>
    <xf numFmtId="0" fontId="3" fillId="11" borderId="0" xfId="0" applyFont="1" applyFill="1" applyAlignment="1">
      <alignment horizontal="right" wrapText="1"/>
    </xf>
    <xf numFmtId="0" fontId="0" fillId="8" borderId="15" xfId="0" applyFill="1" applyBorder="1" applyAlignment="1">
      <alignment horizontal="right" wrapText="1"/>
    </xf>
    <xf numFmtId="0" fontId="0" fillId="8" borderId="0" xfId="0" applyFill="1" applyAlignment="1">
      <alignment horizontal="right" wrapText="1"/>
    </xf>
    <xf numFmtId="0" fontId="0" fillId="8" borderId="0" xfId="0" applyFill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9" xfId="0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0" fillId="13" borderId="4" xfId="0" applyFont="1" applyFill="1" applyBorder="1" applyAlignment="1">
      <alignment horizontal="center" wrapText="1"/>
    </xf>
    <xf numFmtId="0" fontId="50" fillId="13" borderId="5" xfId="0" applyFont="1" applyFill="1" applyBorder="1" applyAlignment="1">
      <alignment horizontal="center" wrapText="1"/>
    </xf>
    <xf numFmtId="0" fontId="50" fillId="13" borderId="6" xfId="0" applyFont="1" applyFill="1" applyBorder="1" applyAlignment="1">
      <alignment horizontal="center" wrapText="1"/>
    </xf>
    <xf numFmtId="0" fontId="50" fillId="13" borderId="15" xfId="0" applyFont="1" applyFill="1" applyBorder="1" applyAlignment="1">
      <alignment horizontal="center" wrapText="1"/>
    </xf>
    <xf numFmtId="0" fontId="50" fillId="13" borderId="0" xfId="0" applyFont="1" applyFill="1" applyAlignment="1">
      <alignment horizontal="center" wrapText="1"/>
    </xf>
    <xf numFmtId="0" fontId="50" fillId="13" borderId="19" xfId="0" applyFont="1" applyFill="1" applyBorder="1" applyAlignment="1">
      <alignment horizontal="center" wrapText="1"/>
    </xf>
    <xf numFmtId="0" fontId="49" fillId="13" borderId="0" xfId="0" applyFont="1" applyFill="1" applyAlignment="1">
      <alignment horizontal="right" vertical="center" wrapText="1"/>
    </xf>
    <xf numFmtId="0" fontId="6" fillId="3" borderId="1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24" xfId="0" applyFont="1" applyFill="1" applyBorder="1" applyAlignment="1">
      <alignment horizontal="right" vertical="center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0" fillId="0" borderId="14" xfId="0" applyFont="1" applyBorder="1" applyAlignment="1" applyProtection="1">
      <alignment horizontal="center" vertical="center" wrapText="1"/>
      <protection locked="0"/>
    </xf>
    <xf numFmtId="0" fontId="7" fillId="0" borderId="39" xfId="0" applyFont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 applyProtection="1">
      <alignment horizontal="center" vertical="center" wrapText="1"/>
      <protection locked="0"/>
    </xf>
    <xf numFmtId="0" fontId="7" fillId="0" borderId="33" xfId="0" applyFont="1" applyBorder="1" applyAlignment="1" applyProtection="1">
      <alignment horizontal="center" vertical="center" wrapText="1"/>
      <protection locked="0"/>
    </xf>
    <xf numFmtId="0" fontId="7" fillId="0" borderId="40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14" xfId="0" applyFont="1" applyBorder="1" applyAlignment="1" applyProtection="1">
      <alignment horizontal="center" vertical="center" wrapText="1"/>
      <protection locked="0"/>
    </xf>
    <xf numFmtId="164" fontId="20" fillId="0" borderId="3" xfId="1" applyNumberFormat="1" applyFont="1" applyFill="1" applyBorder="1" applyAlignment="1" applyProtection="1">
      <alignment horizontal="center" vertical="center" wrapText="1"/>
      <protection locked="0"/>
    </xf>
    <xf numFmtId="164" fontId="20" fillId="0" borderId="16" xfId="1" applyNumberFormat="1" applyFont="1" applyFill="1" applyBorder="1" applyAlignment="1" applyProtection="1">
      <alignment horizontal="center" vertical="center" wrapText="1"/>
      <protection locked="0"/>
    </xf>
    <xf numFmtId="38" fontId="7" fillId="0" borderId="2" xfId="0" applyNumberFormat="1" applyFont="1" applyBorder="1" applyAlignment="1" applyProtection="1">
      <alignment horizontal="center" vertical="center" wrapText="1"/>
      <protection locked="0"/>
    </xf>
    <xf numFmtId="38" fontId="7" fillId="0" borderId="16" xfId="0" applyNumberFormat="1" applyFont="1" applyBorder="1" applyAlignment="1" applyProtection="1">
      <alignment horizontal="center" vertical="center" wrapText="1"/>
      <protection locked="0"/>
    </xf>
    <xf numFmtId="0" fontId="6" fillId="3" borderId="15" xfId="0" applyFont="1" applyFill="1" applyBorder="1" applyAlignment="1">
      <alignment horizontal="right" vertical="center" wrapText="1"/>
    </xf>
    <xf numFmtId="0" fontId="6" fillId="3" borderId="0" xfId="0" applyFont="1" applyFill="1" applyAlignment="1">
      <alignment horizontal="right" vertical="center" wrapText="1"/>
    </xf>
    <xf numFmtId="0" fontId="6" fillId="3" borderId="7" xfId="0" applyFont="1" applyFill="1" applyBorder="1" applyAlignment="1">
      <alignment horizontal="right" vertical="center" wrapText="1"/>
    </xf>
    <xf numFmtId="0" fontId="6" fillId="3" borderId="8" xfId="0" applyFont="1" applyFill="1" applyBorder="1" applyAlignment="1">
      <alignment horizontal="right" vertical="center" wrapText="1"/>
    </xf>
    <xf numFmtId="0" fontId="15" fillId="3" borderId="10" xfId="0" applyFont="1" applyFill="1" applyBorder="1" applyAlignment="1">
      <alignment horizontal="right" vertical="center"/>
    </xf>
    <xf numFmtId="0" fontId="15" fillId="3" borderId="23" xfId="0" applyFont="1" applyFill="1" applyBorder="1" applyAlignment="1">
      <alignment horizontal="right" vertical="center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15" fillId="3" borderId="0" xfId="0" applyFont="1" applyFill="1" applyAlignment="1">
      <alignment horizontal="right" vertical="center"/>
    </xf>
    <xf numFmtId="0" fontId="15" fillId="3" borderId="24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right" vertical="center"/>
    </xf>
    <xf numFmtId="0" fontId="7" fillId="0" borderId="17" xfId="0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center" vertical="center" wrapText="1"/>
      <protection locked="0"/>
    </xf>
    <xf numFmtId="0" fontId="15" fillId="3" borderId="8" xfId="0" applyFont="1" applyFill="1" applyBorder="1" applyAlignment="1">
      <alignment horizontal="right" vertical="center"/>
    </xf>
    <xf numFmtId="0" fontId="15" fillId="3" borderId="25" xfId="0" applyFont="1" applyFill="1" applyBorder="1" applyAlignment="1">
      <alignment horizontal="right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right" vertical="center"/>
    </xf>
    <xf numFmtId="0" fontId="6" fillId="3" borderId="10" xfId="0" applyFont="1" applyFill="1" applyBorder="1" applyAlignment="1">
      <alignment horizontal="right" vertical="center"/>
    </xf>
    <xf numFmtId="0" fontId="6" fillId="3" borderId="23" xfId="0" applyFont="1" applyFill="1" applyBorder="1" applyAlignment="1">
      <alignment horizontal="right" vertical="center"/>
    </xf>
    <xf numFmtId="0" fontId="20" fillId="0" borderId="20" xfId="0" applyFont="1" applyBorder="1" applyAlignment="1" applyProtection="1">
      <alignment horizontal="center" vertical="center" wrapText="1"/>
      <protection locked="0"/>
    </xf>
    <xf numFmtId="0" fontId="20" fillId="0" borderId="21" xfId="0" applyFont="1" applyBorder="1" applyAlignment="1" applyProtection="1">
      <alignment horizontal="center" vertical="center" wrapText="1"/>
      <protection locked="0"/>
    </xf>
    <xf numFmtId="14" fontId="7" fillId="0" borderId="2" xfId="0" applyNumberFormat="1" applyFont="1" applyBorder="1" applyAlignment="1" applyProtection="1">
      <alignment horizontal="center" vertical="center" wrapText="1"/>
      <protection locked="0"/>
    </xf>
    <xf numFmtId="14" fontId="7" fillId="0" borderId="16" xfId="0" applyNumberFormat="1" applyFont="1" applyBorder="1" applyAlignment="1" applyProtection="1">
      <alignment horizontal="center" vertical="center" wrapText="1"/>
      <protection locked="0"/>
    </xf>
    <xf numFmtId="14" fontId="20" fillId="0" borderId="2" xfId="0" applyNumberFormat="1" applyFont="1" applyBorder="1" applyAlignment="1" applyProtection="1">
      <alignment horizontal="center" vertical="center" wrapText="1"/>
      <protection locked="0"/>
    </xf>
    <xf numFmtId="14" fontId="20" fillId="0" borderId="16" xfId="0" applyNumberFormat="1" applyFont="1" applyBorder="1" applyAlignment="1" applyProtection="1">
      <alignment horizontal="center" vertical="center" wrapText="1"/>
      <protection locked="0"/>
    </xf>
    <xf numFmtId="40" fontId="26" fillId="3" borderId="0" xfId="0" applyNumberFormat="1" applyFont="1" applyFill="1" applyAlignment="1">
      <alignment horizontal="center" vertical="center"/>
    </xf>
    <xf numFmtId="0" fontId="42" fillId="13" borderId="15" xfId="0" applyFont="1" applyFill="1" applyBorder="1" applyAlignment="1">
      <alignment horizontal="center" wrapText="1"/>
    </xf>
    <xf numFmtId="0" fontId="42" fillId="13" borderId="0" xfId="0" applyFont="1" applyFill="1" applyAlignment="1">
      <alignment horizontal="center" wrapText="1"/>
    </xf>
    <xf numFmtId="0" fontId="42" fillId="13" borderId="19" xfId="0" applyFont="1" applyFill="1" applyBorder="1" applyAlignment="1">
      <alignment horizontal="center" wrapText="1"/>
    </xf>
    <xf numFmtId="0" fontId="49" fillId="13" borderId="0" xfId="0" applyFont="1" applyFill="1" applyAlignment="1">
      <alignment horizontal="left" vertical="center"/>
    </xf>
    <xf numFmtId="0" fontId="49" fillId="13" borderId="19" xfId="0" applyFont="1" applyFill="1" applyBorder="1" applyAlignment="1">
      <alignment horizontal="left" vertical="center"/>
    </xf>
    <xf numFmtId="0" fontId="49" fillId="13" borderId="0" xfId="0" applyFont="1" applyFill="1" applyAlignment="1">
      <alignment horizontal="left" vertical="center" wrapText="1"/>
    </xf>
    <xf numFmtId="0" fontId="49" fillId="13" borderId="19" xfId="0" applyFont="1" applyFill="1" applyBorder="1" applyAlignment="1">
      <alignment horizontal="left" vertical="center" wrapText="1"/>
    </xf>
    <xf numFmtId="0" fontId="40" fillId="12" borderId="4" xfId="0" applyFont="1" applyFill="1" applyBorder="1" applyAlignment="1">
      <alignment horizontal="center" vertical="center"/>
    </xf>
    <xf numFmtId="0" fontId="40" fillId="12" borderId="5" xfId="0" applyFont="1" applyFill="1" applyBorder="1" applyAlignment="1">
      <alignment horizontal="center" vertical="center"/>
    </xf>
    <xf numFmtId="0" fontId="40" fillId="12" borderId="6" xfId="0" applyFont="1" applyFill="1" applyBorder="1" applyAlignment="1">
      <alignment horizontal="center" vertical="center"/>
    </xf>
    <xf numFmtId="0" fontId="40" fillId="12" borderId="15" xfId="0" applyFont="1" applyFill="1" applyBorder="1" applyAlignment="1">
      <alignment horizontal="center" vertical="center"/>
    </xf>
    <xf numFmtId="0" fontId="40" fillId="12" borderId="0" xfId="0" applyFont="1" applyFill="1" applyAlignment="1">
      <alignment horizontal="center" vertical="center"/>
    </xf>
    <xf numFmtId="0" fontId="40" fillId="12" borderId="19" xfId="0" applyFont="1" applyFill="1" applyBorder="1" applyAlignment="1">
      <alignment horizontal="center" vertical="center"/>
    </xf>
    <xf numFmtId="0" fontId="48" fillId="11" borderId="0" xfId="0" applyFont="1" applyFill="1" applyAlignment="1">
      <alignment horizontal="center"/>
    </xf>
    <xf numFmtId="0" fontId="48" fillId="11" borderId="19" xfId="0" applyFont="1" applyFill="1" applyBorder="1" applyAlignment="1">
      <alignment horizontal="center"/>
    </xf>
    <xf numFmtId="38" fontId="23" fillId="3" borderId="0" xfId="0" applyNumberFormat="1" applyFont="1" applyFill="1" applyAlignment="1">
      <alignment horizontal="center" vertical="center"/>
    </xf>
    <xf numFmtId="38" fontId="23" fillId="3" borderId="10" xfId="0" applyNumberFormat="1" applyFont="1" applyFill="1" applyBorder="1" applyAlignment="1">
      <alignment horizontal="center" vertical="center"/>
    </xf>
    <xf numFmtId="0" fontId="23" fillId="3" borderId="10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38" fontId="6" fillId="4" borderId="0" xfId="0" applyNumberFormat="1" applyFont="1" applyFill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 wrapText="1"/>
    </xf>
    <xf numFmtId="38" fontId="23" fillId="3" borderId="22" xfId="0" applyNumberFormat="1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/>
    </xf>
    <xf numFmtId="38" fontId="4" fillId="3" borderId="0" xfId="0" applyNumberFormat="1" applyFont="1" applyFill="1" applyAlignment="1">
      <alignment horizontal="center" vertical="center"/>
    </xf>
    <xf numFmtId="0" fontId="4" fillId="5" borderId="0" xfId="2" applyNumberFormat="1" applyFont="1" applyFill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locked="0"/>
    </xf>
    <xf numFmtId="0" fontId="17" fillId="3" borderId="26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/>
    </xf>
    <xf numFmtId="0" fontId="17" fillId="3" borderId="22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 applyProtection="1">
      <alignment horizontal="center" vertical="center"/>
      <protection locked="0"/>
    </xf>
    <xf numFmtId="0" fontId="6" fillId="9" borderId="0" xfId="0" applyFont="1" applyFill="1" applyAlignment="1">
      <alignment horizontal="center" vertical="center" wrapText="1"/>
    </xf>
    <xf numFmtId="38" fontId="22" fillId="4" borderId="0" xfId="2" applyNumberFormat="1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Alignment="1">
      <alignment horizontal="center" vertical="center"/>
    </xf>
    <xf numFmtId="38" fontId="37" fillId="4" borderId="0" xfId="0" applyNumberFormat="1" applyFont="1" applyFill="1" applyAlignment="1" applyProtection="1">
      <alignment horizontal="center" vertical="center"/>
      <protection locked="0"/>
    </xf>
    <xf numFmtId="9" fontId="4" fillId="4" borderId="0" xfId="2" applyFont="1" applyFill="1" applyAlignment="1" applyProtection="1">
      <alignment horizontal="center" vertical="center"/>
      <protection locked="0"/>
    </xf>
    <xf numFmtId="0" fontId="22" fillId="3" borderId="22" xfId="0" applyFont="1" applyFill="1" applyBorder="1" applyAlignment="1">
      <alignment horizontal="center" vertical="center" wrapText="1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26" fillId="5" borderId="44" xfId="0" applyFont="1" applyFill="1" applyBorder="1" applyAlignment="1">
      <alignment horizontal="right" vertical="center" indent="2"/>
    </xf>
    <xf numFmtId="0" fontId="26" fillId="5" borderId="34" xfId="0" applyFont="1" applyFill="1" applyBorder="1" applyAlignment="1">
      <alignment horizontal="right" vertical="center" indent="2"/>
    </xf>
    <xf numFmtId="38" fontId="47" fillId="5" borderId="34" xfId="0" applyNumberFormat="1" applyFont="1" applyFill="1" applyBorder="1" applyAlignment="1">
      <alignment horizontal="left" vertical="center" indent="3"/>
    </xf>
    <xf numFmtId="0" fontId="47" fillId="5" borderId="34" xfId="0" applyFont="1" applyFill="1" applyBorder="1" applyAlignment="1">
      <alignment horizontal="left" vertical="center" indent="3"/>
    </xf>
    <xf numFmtId="0" fontId="47" fillId="5" borderId="45" xfId="0" applyFont="1" applyFill="1" applyBorder="1" applyAlignment="1">
      <alignment horizontal="left" vertical="center" indent="3"/>
    </xf>
    <xf numFmtId="0" fontId="26" fillId="5" borderId="41" xfId="0" applyFont="1" applyFill="1" applyBorder="1" applyAlignment="1">
      <alignment horizontal="right" vertical="center" indent="2"/>
    </xf>
    <xf numFmtId="0" fontId="26" fillId="5" borderId="42" xfId="0" applyFont="1" applyFill="1" applyBorder="1" applyAlignment="1">
      <alignment horizontal="right" vertical="center" indent="2"/>
    </xf>
    <xf numFmtId="0" fontId="47" fillId="5" borderId="42" xfId="0" applyFont="1" applyFill="1" applyBorder="1" applyAlignment="1">
      <alignment horizontal="left" vertical="center" indent="3"/>
    </xf>
    <xf numFmtId="0" fontId="47" fillId="5" borderId="43" xfId="0" applyFont="1" applyFill="1" applyBorder="1" applyAlignment="1">
      <alignment horizontal="left" vertical="center" indent="3"/>
    </xf>
    <xf numFmtId="0" fontId="44" fillId="5" borderId="15" xfId="0" applyFont="1" applyFill="1" applyBorder="1" applyAlignment="1">
      <alignment horizontal="center"/>
    </xf>
    <xf numFmtId="0" fontId="44" fillId="5" borderId="0" xfId="0" applyFont="1" applyFill="1" applyAlignment="1">
      <alignment horizontal="center"/>
    </xf>
    <xf numFmtId="0" fontId="44" fillId="5" borderId="19" xfId="0" applyFont="1" applyFill="1" applyBorder="1" applyAlignment="1">
      <alignment horizontal="center"/>
    </xf>
    <xf numFmtId="14" fontId="12" fillId="5" borderId="15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/>
    </xf>
    <xf numFmtId="0" fontId="12" fillId="5" borderId="19" xfId="0" applyFont="1" applyFill="1" applyBorder="1" applyAlignment="1">
      <alignment horizontal="center"/>
    </xf>
    <xf numFmtId="0" fontId="26" fillId="5" borderId="46" xfId="0" applyFont="1" applyFill="1" applyBorder="1" applyAlignment="1">
      <alignment horizontal="right" vertical="center" indent="2"/>
    </xf>
    <xf numFmtId="0" fontId="26" fillId="5" borderId="47" xfId="0" applyFont="1" applyFill="1" applyBorder="1" applyAlignment="1">
      <alignment horizontal="right" vertical="center" indent="2"/>
    </xf>
    <xf numFmtId="0" fontId="47" fillId="5" borderId="47" xfId="0" applyFont="1" applyFill="1" applyBorder="1" applyAlignment="1">
      <alignment horizontal="left" vertical="center" indent="3"/>
    </xf>
    <xf numFmtId="0" fontId="47" fillId="5" borderId="48" xfId="0" applyFont="1" applyFill="1" applyBorder="1" applyAlignment="1">
      <alignment horizontal="left" vertical="center" indent="3"/>
    </xf>
    <xf numFmtId="0" fontId="41" fillId="0" borderId="15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38" fontId="43" fillId="14" borderId="0" xfId="0" applyNumberFormat="1" applyFont="1" applyFill="1" applyAlignment="1">
      <alignment horizontal="center" vertical="center"/>
    </xf>
    <xf numFmtId="38" fontId="45" fillId="14" borderId="0" xfId="0" applyNumberFormat="1" applyFont="1" applyFill="1" applyAlignment="1">
      <alignment horizontal="center" vertical="top"/>
    </xf>
    <xf numFmtId="0" fontId="3" fillId="6" borderId="4" xfId="0" applyFont="1" applyFill="1" applyBorder="1" applyAlignment="1">
      <alignment horizontal="right" vertical="center"/>
    </xf>
    <xf numFmtId="0" fontId="3" fillId="6" borderId="27" xfId="0" applyFont="1" applyFill="1" applyBorder="1" applyAlignment="1">
      <alignment horizontal="right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</cellXfs>
  <cellStyles count="3">
    <cellStyle name="Milliers" xfId="1" builtinId="3"/>
    <cellStyle name="Normal" xfId="0" builtinId="0"/>
    <cellStyle name="Pourcentage" xfId="2" builtinId="5"/>
  </cellStyles>
  <dxfs count="131"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 patternType="lightDown"/>
      </fill>
    </dxf>
    <dxf>
      <font>
        <color theme="0" tint="-0.14996795556505021"/>
      </font>
      <fill>
        <patternFill patternType="lightDown"/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ont>
        <color theme="0"/>
      </font>
      <fill>
        <patternFill patternType="lightDown"/>
      </fill>
    </dxf>
    <dxf>
      <fill>
        <patternFill patternType="lightDown"/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FF"/>
      <color rgb="FF93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txData>
          <cx:v>Mitigation potential by sector and activity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Mitigation potential by sector and activity</a:t>
          </a:r>
        </a:p>
      </cx:txPr>
    </cx:title>
    <cx:plotArea>
      <cx:plotAreaRegion>
        <cx:series layoutId="sunburst" uniqueId="{2110A7AD-6C4E-4200-A557-BD80D4E9CE51}">
          <cx:tx>
            <cx:txData>
              <cx:f>_xlchart.v1.4</cx:f>
              <cx:v>Emission reduction</cx:v>
            </cx:txData>
          </cx:tx>
          <cx:dataLabels pos="ctr">
            <cx:visibility seriesName="0" categoryName="1" value="1"/>
          </cx:dataLabels>
          <cx:dataId val="0"/>
        </cx:series>
      </cx:plotAreaRegion>
    </cx:plotArea>
  </cx:chart>
  <cx:spPr>
    <a:ln>
      <a:solidFill>
        <a:schemeClr val="tx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Mitigation potential by sector and activity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900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Mitigation potential by sector and activity</a:t>
          </a:r>
        </a:p>
      </cx:txPr>
    </cx:title>
    <cx:plotArea>
      <cx:plotAreaRegion>
        <cx:series layoutId="clusteredColumn" uniqueId="{2110A7AD-6C4E-4200-A557-BD80D4E9CE51}">
          <cx:tx>
            <cx:txData>
              <cx:f>_xlchart.v1.1</cx:f>
              <cx:v>Emission reduction</cx:v>
            </cx:txData>
          </cx:tx>
          <cx:dataLabels pos="inBase">
            <cx:txPr>
              <a:bodyPr vertOverflow="overflow" horzOverflow="overflow" wrap="square" lIns="0" tIns="0" rIns="0" bIns="0"/>
              <a:lstStyle/>
              <a:p>
                <a:pPr algn="ctr" rtl="0">
                  <a:defRPr sz="1100" b="1" i="0">
                    <a:solidFill>
                      <a:srgbClr val="FFFFFF"/>
                    </a:solidFill>
                    <a:latin typeface="Aptos Narrow" panose="020B0004020202020204" pitchFamily="34" charset="0"/>
                    <a:ea typeface="Aptos Narrow" panose="020B0004020202020204" pitchFamily="34" charset="0"/>
                    <a:cs typeface="Aptos Narrow" panose="020B0004020202020204" pitchFamily="34" charset="0"/>
                  </a:defRPr>
                </a:pPr>
                <a:endParaRPr lang="fr-FR" sz="1100" b="1"/>
              </a:p>
            </cx:txPr>
            <cx:visibility seriesName="0" categoryName="0" value="1"/>
          </cx:dataLabels>
          <cx:dataId val="0"/>
          <cx:layoutPr>
            <cx:aggregation/>
          </cx:layoutPr>
          <cx:axisId val="0"/>
        </cx:series>
        <cx:series layoutId="paretoLine" ownerIdx="0" uniqueId="{995472D6-B134-4A21-9557-FC8AD1DCB90B}">
          <cx:axisId val="2"/>
        </cx:series>
      </cx:plotAreaRegion>
      <cx:axis id="0">
        <cx:valScaling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ptos Narrow" panose="020B0004020202020204" pitchFamily="34" charset="0"/>
                <a:ea typeface="Aptos Narrow" panose="020B0004020202020204" pitchFamily="34" charset="0"/>
                <a:cs typeface="Aptos Narrow" panose="020B0004020202020204" pitchFamily="34" charset="0"/>
              </a:defRPr>
            </a:pPr>
            <a:endParaRPr lang="fr-FR" sz="900"/>
          </a:p>
        </cx:txPr>
      </cx:axis>
      <cx:axis id="1">
        <cx:catScaling gapWidth="0"/>
        <cx:title>
          <cx:tx>
            <cx:txData>
              <cx:v>Sectors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Sectors</a:t>
              </a:r>
            </a:p>
          </cx:txPr>
        </cx:title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ptos Narrow" panose="020B0004020202020204" pitchFamily="34" charset="0"/>
                <a:ea typeface="Aptos Narrow" panose="020B0004020202020204" pitchFamily="34" charset="0"/>
                <a:cs typeface="Aptos Narrow" panose="020B0004020202020204" pitchFamily="34" charset="0"/>
              </a:defRPr>
            </a:pPr>
            <a:endParaRPr lang="fr-FR" sz="900"/>
          </a:p>
        </cx:txPr>
      </cx:axis>
      <cx:axis id="2">
        <cx:valScaling max="1" min="0"/>
        <cx:units unit="percentage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ptos Narrow" panose="020B0004020202020204" pitchFamily="34" charset="0"/>
                <a:ea typeface="Aptos Narrow" panose="020B0004020202020204" pitchFamily="34" charset="0"/>
                <a:cs typeface="Aptos Narrow" panose="020B0004020202020204" pitchFamily="34" charset="0"/>
              </a:defRPr>
            </a:pPr>
            <a:endParaRPr lang="fr-FR" sz="900"/>
          </a:p>
        </cx:txPr>
      </cx:axis>
    </cx:plotArea>
  </cx:chart>
  <cx:spPr>
    <a:ln>
      <a:solidFill>
        <a:schemeClr val="tx1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_xlchart.v1.8</cx:f>
      </cx:numDim>
    </cx:data>
  </cx:chartData>
  <cx:chart>
    <cx:title pos="t" align="ctr" overlay="0"/>
    <cx:plotArea>
      <cx:plotAreaRegion>
        <cx:series layoutId="sunburst" uniqueId="{2110A7AD-6C4E-4200-A557-BD80D4E9CE51}">
          <cx:tx>
            <cx:txData>
              <cx:f>_xlchart.v1.7</cx:f>
              <cx:v>Emission reduction</cx:v>
            </cx:txData>
          </cx:tx>
          <cx:dataLabels pos="ctr">
            <cx:visibility seriesName="0" categoryName="1" value="1"/>
          </cx:dataLabels>
          <cx:dataId val="0"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7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5927</xdr:colOff>
      <xdr:row>5</xdr:row>
      <xdr:rowOff>288714</xdr:rowOff>
    </xdr:from>
    <xdr:to>
      <xdr:col>3</xdr:col>
      <xdr:colOff>285751</xdr:colOff>
      <xdr:row>8</xdr:row>
      <xdr:rowOff>15982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9B5F18-FB6D-41B5-AF55-495BFAEE0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032" y="1189779"/>
          <a:ext cx="716069" cy="7978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227966</xdr:colOff>
      <xdr:row>5</xdr:row>
      <xdr:rowOff>267758</xdr:rowOff>
    </xdr:from>
    <xdr:to>
      <xdr:col>6</xdr:col>
      <xdr:colOff>435821</xdr:colOff>
      <xdr:row>8</xdr:row>
      <xdr:rowOff>19024</xdr:rowOff>
    </xdr:to>
    <xdr:pic>
      <xdr:nvPicPr>
        <xdr:cNvPr id="3" name="Picture 2" descr="UNEP Logo Download png">
          <a:extLst>
            <a:ext uri="{FF2B5EF4-FFF2-40B4-BE49-F238E27FC236}">
              <a16:creationId xmlns:a16="http://schemas.microsoft.com/office/drawing/2014/main" id="{2FDA4544-444F-4350-A2EE-5991AA8AC2B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8" t="1703" r="1851" b="2296"/>
        <a:stretch/>
      </xdr:blipFill>
      <xdr:spPr bwMode="auto">
        <a:xfrm>
          <a:off x="3104516" y="1172633"/>
          <a:ext cx="811740" cy="829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530225</xdr:colOff>
      <xdr:row>5</xdr:row>
      <xdr:rowOff>272280</xdr:rowOff>
    </xdr:from>
    <xdr:to>
      <xdr:col>5</xdr:col>
      <xdr:colOff>54821</xdr:colOff>
      <xdr:row>8</xdr:row>
      <xdr:rowOff>18898</xdr:rowOff>
    </xdr:to>
    <xdr:pic>
      <xdr:nvPicPr>
        <xdr:cNvPr id="4" name="Picture 3" descr="A blue square with white letters and a logo&#10;&#10;Description automatically generated">
          <a:extLst>
            <a:ext uri="{FF2B5EF4-FFF2-40B4-BE49-F238E27FC236}">
              <a16:creationId xmlns:a16="http://schemas.microsoft.com/office/drawing/2014/main" id="{B8035663-9511-4927-90CA-B151A1E16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179060"/>
          <a:ext cx="821689" cy="822943"/>
        </a:xfrm>
        <a:prstGeom prst="rect">
          <a:avLst/>
        </a:prstGeom>
      </xdr:spPr>
    </xdr:pic>
    <xdr:clientData/>
  </xdr:twoCellAnchor>
  <xdr:twoCellAnchor>
    <xdr:from>
      <xdr:col>18</xdr:col>
      <xdr:colOff>599837</xdr:colOff>
      <xdr:row>1</xdr:row>
      <xdr:rowOff>78104</xdr:rowOff>
    </xdr:from>
    <xdr:to>
      <xdr:col>21</xdr:col>
      <xdr:colOff>406776</xdr:colOff>
      <xdr:row>4</xdr:row>
      <xdr:rowOff>7464</xdr:rowOff>
    </xdr:to>
    <xdr:sp macro="[0]!GoTo_Resul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4B5C07B-CC4D-46BF-3588-85D9AACC72D2}"/>
            </a:ext>
          </a:extLst>
        </xdr:cNvPr>
        <xdr:cNvSpPr/>
      </xdr:nvSpPr>
      <xdr:spPr>
        <a:xfrm>
          <a:off x="11725037" y="260984"/>
          <a:ext cx="1643359" cy="478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1">
              <a:solidFill>
                <a:schemeClr val="bg1">
                  <a:lumMod val="95000"/>
                </a:schemeClr>
              </a:solidFill>
            </a:rPr>
            <a:t>Results </a:t>
          </a:r>
        </a:p>
      </xdr:txBody>
    </xdr:sp>
    <xdr:clientData/>
  </xdr:twoCellAnchor>
  <xdr:twoCellAnchor>
    <xdr:from>
      <xdr:col>8</xdr:col>
      <xdr:colOff>512922</xdr:colOff>
      <xdr:row>1</xdr:row>
      <xdr:rowOff>45720</xdr:rowOff>
    </xdr:from>
    <xdr:to>
      <xdr:col>11</xdr:col>
      <xdr:colOff>424464</xdr:colOff>
      <xdr:row>3</xdr:row>
      <xdr:rowOff>174766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91FF61B9-8883-29A1-F70B-BB464A27E105}"/>
            </a:ext>
          </a:extLst>
        </xdr:cNvPr>
        <xdr:cNvGrpSpPr/>
      </xdr:nvGrpSpPr>
      <xdr:grpSpPr>
        <a:xfrm>
          <a:off x="5748144" y="243276"/>
          <a:ext cx="1957653" cy="524157"/>
          <a:chOff x="5148098" y="199908"/>
          <a:chExt cx="1759587" cy="490918"/>
        </a:xfrm>
      </xdr:grpSpPr>
      <xdr:sp macro="[0]!GoTo_AR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42FBB565-BA84-5CE5-5F1A-E0E9F3518AAF}"/>
              </a:ext>
            </a:extLst>
          </xdr:cNvPr>
          <xdr:cNvSpPr/>
        </xdr:nvSpPr>
        <xdr:spPr>
          <a:xfrm>
            <a:off x="5156011" y="199908"/>
            <a:ext cx="1751674" cy="490918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Afforestation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Reforestation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11F9D00D-2854-6DC0-3F0D-68494324AA7D}"/>
              </a:ext>
            </a:extLst>
          </xdr:cNvPr>
          <xdr:cNvSpPr/>
        </xdr:nvSpPr>
        <xdr:spPr>
          <a:xfrm>
            <a:off x="5148098" y="282487"/>
            <a:ext cx="323460" cy="310406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2 </a:t>
            </a:r>
          </a:p>
        </xdr:txBody>
      </xdr:sp>
    </xdr:grpSp>
    <xdr:clientData/>
  </xdr:twoCellAnchor>
  <xdr:twoCellAnchor>
    <xdr:from>
      <xdr:col>12</xdr:col>
      <xdr:colOff>249763</xdr:colOff>
      <xdr:row>1</xdr:row>
      <xdr:rowOff>50165</xdr:rowOff>
    </xdr:from>
    <xdr:to>
      <xdr:col>15</xdr:col>
      <xdr:colOff>269012</xdr:colOff>
      <xdr:row>4</xdr:row>
      <xdr:rowOff>3655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A6D11D9C-B4F9-657E-3E5C-398A82976E3A}"/>
            </a:ext>
          </a:extLst>
        </xdr:cNvPr>
        <xdr:cNvGrpSpPr/>
      </xdr:nvGrpSpPr>
      <xdr:grpSpPr>
        <a:xfrm>
          <a:off x="8208430" y="247721"/>
          <a:ext cx="1811360" cy="546156"/>
          <a:chOff x="7344605" y="204353"/>
          <a:chExt cx="1626913" cy="498242"/>
        </a:xfrm>
      </xdr:grpSpPr>
      <xdr:sp macro="[0]!GoTo_Agriculture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446B730C-362D-1D43-EFF6-58B66CF5995D}"/>
              </a:ext>
            </a:extLst>
          </xdr:cNvPr>
          <xdr:cNvSpPr/>
        </xdr:nvSpPr>
        <xdr:spPr>
          <a:xfrm>
            <a:off x="7344605" y="204353"/>
            <a:ext cx="1626913" cy="49824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Agriculture</a:t>
            </a:r>
          </a:p>
        </xdr:txBody>
      </xdr:sp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EF45A3C4-8FCE-B633-5BFB-3BB39B14E742}"/>
              </a:ext>
            </a:extLst>
          </xdr:cNvPr>
          <xdr:cNvSpPr/>
        </xdr:nvSpPr>
        <xdr:spPr>
          <a:xfrm>
            <a:off x="7347857" y="289676"/>
            <a:ext cx="326065" cy="31511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3 </a:t>
            </a:r>
          </a:p>
        </xdr:txBody>
      </xdr:sp>
    </xdr:grpSp>
    <xdr:clientData/>
  </xdr:twoCellAnchor>
  <xdr:twoCellAnchor>
    <xdr:from>
      <xdr:col>5</xdr:col>
      <xdr:colOff>193028</xdr:colOff>
      <xdr:row>1</xdr:row>
      <xdr:rowOff>51435</xdr:rowOff>
    </xdr:from>
    <xdr:to>
      <xdr:col>8</xdr:col>
      <xdr:colOff>27018</xdr:colOff>
      <xdr:row>3</xdr:row>
      <xdr:rowOff>170499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53DAA37E-96C1-5377-2723-3E31C3C08923}"/>
            </a:ext>
          </a:extLst>
        </xdr:cNvPr>
        <xdr:cNvGrpSpPr/>
      </xdr:nvGrpSpPr>
      <xdr:grpSpPr>
        <a:xfrm>
          <a:off x="3396250" y="248991"/>
          <a:ext cx="1865990" cy="514175"/>
          <a:chOff x="2991667" y="205623"/>
          <a:chExt cx="1668622" cy="480936"/>
        </a:xfrm>
      </xdr:grpSpPr>
      <xdr:sp macro="[0]!GoTo_Energy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B28586C0-7B44-7188-6126-1E93D7DBC037}"/>
              </a:ext>
            </a:extLst>
          </xdr:cNvPr>
          <xdr:cNvSpPr/>
        </xdr:nvSpPr>
        <xdr:spPr>
          <a:xfrm>
            <a:off x="3004062" y="205623"/>
            <a:ext cx="1656227" cy="480936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Energy </a:t>
            </a:r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C1D4E063-A026-98BF-B5DD-BE3FC5BF244E}"/>
              </a:ext>
            </a:extLst>
          </xdr:cNvPr>
          <xdr:cNvSpPr/>
        </xdr:nvSpPr>
        <xdr:spPr>
          <a:xfrm>
            <a:off x="2991667" y="297491"/>
            <a:ext cx="326065" cy="31130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1 </a:t>
            </a:r>
          </a:p>
        </xdr:txBody>
      </xdr:sp>
    </xdr:grpSp>
    <xdr:clientData/>
  </xdr:twoCellAnchor>
  <xdr:twoCellAnchor>
    <xdr:from>
      <xdr:col>16</xdr:col>
      <xdr:colOff>36390</xdr:colOff>
      <xdr:row>1</xdr:row>
      <xdr:rowOff>47625</xdr:rowOff>
    </xdr:from>
    <xdr:to>
      <xdr:col>18</xdr:col>
      <xdr:colOff>70718</xdr:colOff>
      <xdr:row>4</xdr:row>
      <xdr:rowOff>7465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1B24845-134A-D1C1-CC4F-949AE980EEEC}"/>
            </a:ext>
          </a:extLst>
        </xdr:cNvPr>
        <xdr:cNvGrpSpPr/>
      </xdr:nvGrpSpPr>
      <xdr:grpSpPr>
        <a:xfrm>
          <a:off x="10591501" y="245181"/>
          <a:ext cx="1840550" cy="552506"/>
          <a:chOff x="9466684" y="201813"/>
          <a:chExt cx="1655445" cy="504592"/>
        </a:xfrm>
      </xdr:grpSpPr>
      <xdr:sp macro="[0]!GoTo_Forestry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E88151B7-8855-0BDD-F5F3-2E9CB55D7027}"/>
              </a:ext>
            </a:extLst>
          </xdr:cNvPr>
          <xdr:cNvSpPr/>
        </xdr:nvSpPr>
        <xdr:spPr>
          <a:xfrm>
            <a:off x="9468234" y="201813"/>
            <a:ext cx="1653895" cy="50459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Forestry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     Conservation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8C618945-19B5-E6AC-FAD7-BCB3A5677440}"/>
              </a:ext>
            </a:extLst>
          </xdr:cNvPr>
          <xdr:cNvSpPr/>
        </xdr:nvSpPr>
        <xdr:spPr>
          <a:xfrm>
            <a:off x="9466684" y="301302"/>
            <a:ext cx="322255" cy="30749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4 </a:t>
            </a:r>
          </a:p>
        </xdr:txBody>
      </xdr:sp>
    </xdr:grpSp>
    <xdr:clientData/>
  </xdr:twoCellAnchor>
  <xdr:twoCellAnchor>
    <xdr:from>
      <xdr:col>2</xdr:col>
      <xdr:colOff>22860</xdr:colOff>
      <xdr:row>1</xdr:row>
      <xdr:rowOff>46990</xdr:rowOff>
    </xdr:from>
    <xdr:to>
      <xdr:col>4</xdr:col>
      <xdr:colOff>539016</xdr:colOff>
      <xdr:row>3</xdr:row>
      <xdr:rowOff>174667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274C8382-3736-FBE8-AA0A-A97452B2BCCE}"/>
            </a:ext>
          </a:extLst>
        </xdr:cNvPr>
        <xdr:cNvGrpSpPr/>
      </xdr:nvGrpSpPr>
      <xdr:grpSpPr>
        <a:xfrm>
          <a:off x="1377527" y="244546"/>
          <a:ext cx="1532156" cy="522788"/>
          <a:chOff x="1127449" y="203122"/>
          <a:chExt cx="1430556" cy="493437"/>
        </a:xfrm>
      </xdr:grpSpPr>
      <xdr:sp macro="[0]!GoTo_Start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F50F0321-F305-3439-B159-E29BC23F4005}"/>
              </a:ext>
            </a:extLst>
          </xdr:cNvPr>
          <xdr:cNvSpPr/>
        </xdr:nvSpPr>
        <xdr:spPr>
          <a:xfrm>
            <a:off x="1138408" y="203122"/>
            <a:ext cx="1419597" cy="493437"/>
          </a:xfrm>
          <a:prstGeom prst="roundRect">
            <a:avLst/>
          </a:prstGeom>
          <a:solidFill>
            <a:schemeClr val="accent3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Start</a:t>
            </a:r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DFA3741D-EC4E-2A5C-0707-C06FB80EA338}"/>
              </a:ext>
            </a:extLst>
          </xdr:cNvPr>
          <xdr:cNvSpPr/>
        </xdr:nvSpPr>
        <xdr:spPr>
          <a:xfrm>
            <a:off x="1127449" y="287694"/>
            <a:ext cx="324925" cy="313820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0 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607696</xdr:colOff>
      <xdr:row>6</xdr:row>
      <xdr:rowOff>25719</xdr:rowOff>
    </xdr:from>
    <xdr:to>
      <xdr:col>4</xdr:col>
      <xdr:colOff>20956</xdr:colOff>
      <xdr:row>7</xdr:row>
      <xdr:rowOff>145733</xdr:rowOff>
    </xdr:to>
    <xdr:sp macro="[0]!GoTo_1_1" textlink="">
      <xdr:nvSpPr>
        <xdr:cNvPr id="6" name="Rectangle 5">
          <a:extLst>
            <a:ext uri="{FF2B5EF4-FFF2-40B4-BE49-F238E27FC236}">
              <a16:creationId xmlns:a16="http://schemas.microsoft.com/office/drawing/2014/main" id="{DC117E72-E2AA-E311-E548-A8FBFBAD1B34}"/>
            </a:ext>
          </a:extLst>
        </xdr:cNvPr>
        <xdr:cNvSpPr/>
      </xdr:nvSpPr>
      <xdr:spPr>
        <a:xfrm>
          <a:off x="1217296" y="1302069"/>
          <a:ext cx="1070610" cy="491489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Improved cookstoves</a:t>
          </a:r>
        </a:p>
      </xdr:txBody>
    </xdr:sp>
    <xdr:clientData/>
  </xdr:twoCellAnchor>
  <xdr:twoCellAnchor>
    <xdr:from>
      <xdr:col>4</xdr:col>
      <xdr:colOff>306705</xdr:colOff>
      <xdr:row>6</xdr:row>
      <xdr:rowOff>24767</xdr:rowOff>
    </xdr:from>
    <xdr:to>
      <xdr:col>7</xdr:col>
      <xdr:colOff>190500</xdr:colOff>
      <xdr:row>7</xdr:row>
      <xdr:rowOff>144781</xdr:rowOff>
    </xdr:to>
    <xdr:sp macro="[0]!GoTo_1_2" textlink="">
      <xdr:nvSpPr>
        <xdr:cNvPr id="7" name="Rectangle 6">
          <a:extLst>
            <a:ext uri="{FF2B5EF4-FFF2-40B4-BE49-F238E27FC236}">
              <a16:creationId xmlns:a16="http://schemas.microsoft.com/office/drawing/2014/main" id="{EE297267-FE89-A9FA-23C5-BC8A87F10941}"/>
            </a:ext>
          </a:extLst>
        </xdr:cNvPr>
        <xdr:cNvSpPr/>
      </xdr:nvSpPr>
      <xdr:spPr>
        <a:xfrm>
          <a:off x="2573655" y="1301117"/>
          <a:ext cx="1331595" cy="491489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Improved charcoal production</a:t>
          </a:r>
        </a:p>
      </xdr:txBody>
    </xdr:sp>
    <xdr:clientData/>
  </xdr:twoCellAnchor>
  <xdr:twoCellAnchor>
    <xdr:from>
      <xdr:col>7</xdr:col>
      <xdr:colOff>483871</xdr:colOff>
      <xdr:row>6</xdr:row>
      <xdr:rowOff>17148</xdr:rowOff>
    </xdr:from>
    <xdr:to>
      <xdr:col>10</xdr:col>
      <xdr:colOff>74296</xdr:colOff>
      <xdr:row>7</xdr:row>
      <xdr:rowOff>152400</xdr:rowOff>
    </xdr:to>
    <xdr:sp macro="[0]!GoTo_1_3" textlink="">
      <xdr:nvSpPr>
        <xdr:cNvPr id="8" name="Rectangle 7">
          <a:extLst>
            <a:ext uri="{FF2B5EF4-FFF2-40B4-BE49-F238E27FC236}">
              <a16:creationId xmlns:a16="http://schemas.microsoft.com/office/drawing/2014/main" id="{EFA81E86-BD9C-0C50-1DD0-02C35155CCDA}"/>
            </a:ext>
          </a:extLst>
        </xdr:cNvPr>
        <xdr:cNvSpPr/>
      </xdr:nvSpPr>
      <xdr:spPr>
        <a:xfrm>
          <a:off x="4198621" y="1293498"/>
          <a:ext cx="1400175" cy="506727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Wood fuel substitution</a:t>
          </a:r>
        </a:p>
      </xdr:txBody>
    </xdr:sp>
    <xdr:clientData/>
  </xdr:twoCellAnchor>
  <xdr:twoCellAnchor>
    <xdr:from>
      <xdr:col>10</xdr:col>
      <xdr:colOff>369571</xdr:colOff>
      <xdr:row>6</xdr:row>
      <xdr:rowOff>19049</xdr:rowOff>
    </xdr:from>
    <xdr:to>
      <xdr:col>12</xdr:col>
      <xdr:colOff>390526</xdr:colOff>
      <xdr:row>7</xdr:row>
      <xdr:rowOff>152400</xdr:rowOff>
    </xdr:to>
    <xdr:sp macro="[0]!GoTo_1_4" textlink="">
      <xdr:nvSpPr>
        <xdr:cNvPr id="9" name="Rectangle 8">
          <a:extLst>
            <a:ext uri="{FF2B5EF4-FFF2-40B4-BE49-F238E27FC236}">
              <a16:creationId xmlns:a16="http://schemas.microsoft.com/office/drawing/2014/main" id="{AE415DA1-00C8-B703-8E32-1CC6883A17C3}"/>
            </a:ext>
          </a:extLst>
        </xdr:cNvPr>
        <xdr:cNvSpPr/>
      </xdr:nvSpPr>
      <xdr:spPr>
        <a:xfrm>
          <a:off x="5894071" y="1295399"/>
          <a:ext cx="1059180" cy="504826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Cogeneration</a:t>
          </a:r>
        </a:p>
      </xdr:txBody>
    </xdr:sp>
    <xdr:clientData/>
  </xdr:twoCellAnchor>
  <xdr:twoCellAnchor>
    <xdr:from>
      <xdr:col>12</xdr:col>
      <xdr:colOff>548641</xdr:colOff>
      <xdr:row>10</xdr:row>
      <xdr:rowOff>55246</xdr:rowOff>
    </xdr:from>
    <xdr:to>
      <xdr:col>14</xdr:col>
      <xdr:colOff>268606</xdr:colOff>
      <xdr:row>10</xdr:row>
      <xdr:rowOff>333376</xdr:rowOff>
    </xdr:to>
    <xdr:sp macro="[0]!GoTo_1_1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2FEDFC-079C-097E-67A9-3A5551A71F1A}"/>
            </a:ext>
          </a:extLst>
        </xdr:cNvPr>
        <xdr:cNvSpPr/>
      </xdr:nvSpPr>
      <xdr:spPr>
        <a:xfrm>
          <a:off x="7158991" y="2245996"/>
          <a:ext cx="701040" cy="27813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</a:rPr>
            <a:t>Tier 3</a:t>
          </a:r>
        </a:p>
      </xdr:txBody>
    </xdr:sp>
    <xdr:clientData/>
  </xdr:twoCellAnchor>
  <xdr:twoCellAnchor>
    <xdr:from>
      <xdr:col>12</xdr:col>
      <xdr:colOff>19050</xdr:colOff>
      <xdr:row>46</xdr:row>
      <xdr:rowOff>55245</xdr:rowOff>
    </xdr:from>
    <xdr:to>
      <xdr:col>13</xdr:col>
      <xdr:colOff>110490</xdr:colOff>
      <xdr:row>46</xdr:row>
      <xdr:rowOff>333375</xdr:rowOff>
    </xdr:to>
    <xdr:sp macro="[0]!GoTo_1_3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6B54812-9B2B-439C-A294-EF599B8CEBB8}"/>
            </a:ext>
          </a:extLst>
        </xdr:cNvPr>
        <xdr:cNvSpPr/>
      </xdr:nvSpPr>
      <xdr:spPr>
        <a:xfrm>
          <a:off x="6629400" y="10113645"/>
          <a:ext cx="701040" cy="27813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</a:rPr>
            <a:t>Tier 3</a:t>
          </a:r>
        </a:p>
      </xdr:txBody>
    </xdr:sp>
    <xdr:clientData/>
  </xdr:twoCellAnchor>
  <xdr:twoCellAnchor editAs="oneCell">
    <xdr:from>
      <xdr:col>15</xdr:col>
      <xdr:colOff>295275</xdr:colOff>
      <xdr:row>5</xdr:row>
      <xdr:rowOff>154306</xdr:rowOff>
    </xdr:from>
    <xdr:to>
      <xdr:col>16</xdr:col>
      <xdr:colOff>173144</xdr:colOff>
      <xdr:row>8</xdr:row>
      <xdr:rowOff>35879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F20ECE0-F7A8-49D1-A7DC-3A2AF4893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059181"/>
          <a:ext cx="708449" cy="8054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349674</xdr:colOff>
      <xdr:row>5</xdr:row>
      <xdr:rowOff>133350</xdr:rowOff>
    </xdr:from>
    <xdr:to>
      <xdr:col>20</xdr:col>
      <xdr:colOff>248919</xdr:colOff>
      <xdr:row>8</xdr:row>
      <xdr:rowOff>35111</xdr:rowOff>
    </xdr:to>
    <xdr:pic>
      <xdr:nvPicPr>
        <xdr:cNvPr id="14" name="Picture 13" descr="UNEP Logo Download png">
          <a:extLst>
            <a:ext uri="{FF2B5EF4-FFF2-40B4-BE49-F238E27FC236}">
              <a16:creationId xmlns:a16="http://schemas.microsoft.com/office/drawing/2014/main" id="{7B273158-1CFA-4D41-BC91-29C88EA9361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8" t="1703" r="1851" b="2296"/>
        <a:stretch/>
      </xdr:blipFill>
      <xdr:spPr bwMode="auto">
        <a:xfrm>
          <a:off x="10522374" y="1038225"/>
          <a:ext cx="825075" cy="825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129963</xdr:colOff>
      <xdr:row>5</xdr:row>
      <xdr:rowOff>141682</xdr:rowOff>
    </xdr:from>
    <xdr:to>
      <xdr:col>18</xdr:col>
      <xdr:colOff>170814</xdr:colOff>
      <xdr:row>8</xdr:row>
      <xdr:rowOff>36890</xdr:rowOff>
    </xdr:to>
    <xdr:pic>
      <xdr:nvPicPr>
        <xdr:cNvPr id="15" name="Picture 14" descr="A blue square with white letters and a logo&#10;&#10;Description automatically generated">
          <a:extLst>
            <a:ext uri="{FF2B5EF4-FFF2-40B4-BE49-F238E27FC236}">
              <a16:creationId xmlns:a16="http://schemas.microsoft.com/office/drawing/2014/main" id="{F2A90D13-918C-4B37-B1F5-F17E99BDB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663" y="1046557"/>
          <a:ext cx="814281" cy="819133"/>
        </a:xfrm>
        <a:prstGeom prst="rect">
          <a:avLst/>
        </a:prstGeom>
      </xdr:spPr>
    </xdr:pic>
    <xdr:clientData/>
  </xdr:twoCellAnchor>
  <xdr:twoCellAnchor>
    <xdr:from>
      <xdr:col>21</xdr:col>
      <xdr:colOff>181526</xdr:colOff>
      <xdr:row>1</xdr:row>
      <xdr:rowOff>62701</xdr:rowOff>
    </xdr:from>
    <xdr:to>
      <xdr:col>25</xdr:col>
      <xdr:colOff>128723</xdr:colOff>
      <xdr:row>3</xdr:row>
      <xdr:rowOff>167950</xdr:rowOff>
    </xdr:to>
    <xdr:sp macro="[0]!GoTo_Result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C2BA3AEC-F539-E019-7AC9-2559965CE4CD}"/>
            </a:ext>
          </a:extLst>
        </xdr:cNvPr>
        <xdr:cNvSpPr/>
      </xdr:nvSpPr>
      <xdr:spPr>
        <a:xfrm>
          <a:off x="11687726" y="245581"/>
          <a:ext cx="1646457" cy="47100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1">
              <a:solidFill>
                <a:schemeClr val="bg1">
                  <a:lumMod val="95000"/>
                </a:schemeClr>
              </a:solidFill>
            </a:rPr>
            <a:t>Results </a:t>
          </a:r>
        </a:p>
      </xdr:txBody>
    </xdr:sp>
    <xdr:clientData/>
  </xdr:twoCellAnchor>
  <xdr:twoCellAnchor>
    <xdr:from>
      <xdr:col>8</xdr:col>
      <xdr:colOff>722446</xdr:colOff>
      <xdr:row>1</xdr:row>
      <xdr:rowOff>30791</xdr:rowOff>
    </xdr:from>
    <xdr:to>
      <xdr:col>12</xdr:col>
      <xdr:colOff>370583</xdr:colOff>
      <xdr:row>3</xdr:row>
      <xdr:rowOff>152600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1ED7D4EA-0181-6828-3A2F-DF0924EA5E49}"/>
            </a:ext>
          </a:extLst>
        </xdr:cNvPr>
        <xdr:cNvGrpSpPr/>
      </xdr:nvGrpSpPr>
      <xdr:grpSpPr>
        <a:xfrm>
          <a:off x="5675446" y="228347"/>
          <a:ext cx="1990581" cy="516920"/>
          <a:chOff x="5148098" y="199908"/>
          <a:chExt cx="1759587" cy="490918"/>
        </a:xfrm>
      </xdr:grpSpPr>
      <xdr:sp macro="[0]!GoTo_AR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3759CFBC-93A5-DB93-AE11-D5F5FA88AAAD}"/>
              </a:ext>
            </a:extLst>
          </xdr:cNvPr>
          <xdr:cNvSpPr/>
        </xdr:nvSpPr>
        <xdr:spPr>
          <a:xfrm>
            <a:off x="5156011" y="199908"/>
            <a:ext cx="1751674" cy="490918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Afforestation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Reforestation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A906F665-A1ED-DDB9-A67D-4382A53F3F1E}"/>
              </a:ext>
            </a:extLst>
          </xdr:cNvPr>
          <xdr:cNvSpPr/>
        </xdr:nvSpPr>
        <xdr:spPr>
          <a:xfrm>
            <a:off x="5148098" y="282487"/>
            <a:ext cx="323460" cy="310406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2 </a:t>
            </a:r>
          </a:p>
        </xdr:txBody>
      </xdr:sp>
    </xdr:grpSp>
    <xdr:clientData/>
  </xdr:twoCellAnchor>
  <xdr:twoCellAnchor>
    <xdr:from>
      <xdr:col>13</xdr:col>
      <xdr:colOff>196702</xdr:colOff>
      <xdr:row>1</xdr:row>
      <xdr:rowOff>35171</xdr:rowOff>
    </xdr:from>
    <xdr:to>
      <xdr:col>15</xdr:col>
      <xdr:colOff>660993</xdr:colOff>
      <xdr:row>3</xdr:row>
      <xdr:rowOff>164197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FEB18087-9CD3-0410-CF53-971611F5EBC8}"/>
            </a:ext>
          </a:extLst>
        </xdr:cNvPr>
        <xdr:cNvGrpSpPr/>
      </xdr:nvGrpSpPr>
      <xdr:grpSpPr>
        <a:xfrm>
          <a:off x="8169480" y="232727"/>
          <a:ext cx="1776624" cy="524137"/>
          <a:chOff x="7344605" y="204353"/>
          <a:chExt cx="1626913" cy="498242"/>
        </a:xfrm>
      </xdr:grpSpPr>
      <xdr:sp macro="[0]!GoTo_Agricultur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3E5CA97F-74D2-71A2-33C6-5C93E5B34808}"/>
              </a:ext>
            </a:extLst>
          </xdr:cNvPr>
          <xdr:cNvSpPr/>
        </xdr:nvSpPr>
        <xdr:spPr>
          <a:xfrm>
            <a:off x="7344605" y="204353"/>
            <a:ext cx="1626913" cy="49824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Agriculture</a:t>
            </a:r>
          </a:p>
        </xdr:txBody>
      </xdr:sp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C9C475FB-E829-4DF3-9B48-D24385E5062A}"/>
              </a:ext>
            </a:extLst>
          </xdr:cNvPr>
          <xdr:cNvSpPr/>
        </xdr:nvSpPr>
        <xdr:spPr>
          <a:xfrm>
            <a:off x="7347857" y="289676"/>
            <a:ext cx="326065" cy="31511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3 </a:t>
            </a:r>
          </a:p>
        </xdr:txBody>
      </xdr:sp>
    </xdr:grpSp>
    <xdr:clientData/>
  </xdr:twoCellAnchor>
  <xdr:twoCellAnchor>
    <xdr:from>
      <xdr:col>5</xdr:col>
      <xdr:colOff>154662</xdr:colOff>
      <xdr:row>1</xdr:row>
      <xdr:rowOff>36422</xdr:rowOff>
    </xdr:from>
    <xdr:to>
      <xdr:col>8</xdr:col>
      <xdr:colOff>235627</xdr:colOff>
      <xdr:row>3</xdr:row>
      <xdr:rowOff>148395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75633428-9D81-35FB-BBFE-AD3EF145ADC6}"/>
            </a:ext>
          </a:extLst>
        </xdr:cNvPr>
        <xdr:cNvGrpSpPr/>
      </xdr:nvGrpSpPr>
      <xdr:grpSpPr>
        <a:xfrm>
          <a:off x="3343773" y="233978"/>
          <a:ext cx="1844854" cy="507084"/>
          <a:chOff x="2991667" y="205623"/>
          <a:chExt cx="1668622" cy="480936"/>
        </a:xfrm>
      </xdr:grpSpPr>
      <xdr:sp macro="[0]!GoTo_Energy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AFEA69E8-A995-E24E-1C62-8D919E8CF086}"/>
              </a:ext>
            </a:extLst>
          </xdr:cNvPr>
          <xdr:cNvSpPr/>
        </xdr:nvSpPr>
        <xdr:spPr>
          <a:xfrm>
            <a:off x="3004062" y="205623"/>
            <a:ext cx="1656227" cy="480936"/>
          </a:xfrm>
          <a:prstGeom prst="roundRect">
            <a:avLst/>
          </a:prstGeom>
          <a:solidFill>
            <a:schemeClr val="accent3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Energy </a:t>
            </a:r>
          </a:p>
        </xdr:txBody>
      </xdr:sp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3AC5B4FB-837A-45EB-BF7F-45A1168B700A}"/>
              </a:ext>
            </a:extLst>
          </xdr:cNvPr>
          <xdr:cNvSpPr/>
        </xdr:nvSpPr>
        <xdr:spPr>
          <a:xfrm>
            <a:off x="2991667" y="297491"/>
            <a:ext cx="326065" cy="311303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1 </a:t>
            </a:r>
          </a:p>
        </xdr:txBody>
      </xdr:sp>
    </xdr:grpSp>
    <xdr:clientData/>
  </xdr:twoCellAnchor>
  <xdr:twoCellAnchor>
    <xdr:from>
      <xdr:col>17</xdr:col>
      <xdr:colOff>86397</xdr:colOff>
      <xdr:row>1</xdr:row>
      <xdr:rowOff>32668</xdr:rowOff>
    </xdr:from>
    <xdr:to>
      <xdr:col>20</xdr:col>
      <xdr:colOff>47649</xdr:colOff>
      <xdr:row>3</xdr:row>
      <xdr:rowOff>167951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C05F97D2-B4F1-0463-B748-974F4A339E6E}"/>
            </a:ext>
          </a:extLst>
        </xdr:cNvPr>
        <xdr:cNvGrpSpPr/>
      </xdr:nvGrpSpPr>
      <xdr:grpSpPr>
        <a:xfrm>
          <a:off x="10570953" y="230224"/>
          <a:ext cx="1852140" cy="530394"/>
          <a:chOff x="9466684" y="201813"/>
          <a:chExt cx="1655445" cy="504592"/>
        </a:xfrm>
      </xdr:grpSpPr>
      <xdr:sp macro="[0]!GoTo_Forestry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E9DBB485-DD75-1D66-BAAA-F75E91D87054}"/>
              </a:ext>
            </a:extLst>
          </xdr:cNvPr>
          <xdr:cNvSpPr/>
        </xdr:nvSpPr>
        <xdr:spPr>
          <a:xfrm>
            <a:off x="9468234" y="201813"/>
            <a:ext cx="1653895" cy="50459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Forestry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     Conservation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C67AD576-5AB4-4CC7-AC0A-1608AB29225D}"/>
              </a:ext>
            </a:extLst>
          </xdr:cNvPr>
          <xdr:cNvSpPr/>
        </xdr:nvSpPr>
        <xdr:spPr>
          <a:xfrm>
            <a:off x="9466684" y="301302"/>
            <a:ext cx="322255" cy="30749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4 </a:t>
            </a:r>
          </a:p>
        </xdr:txBody>
      </xdr:sp>
    </xdr:grpSp>
    <xdr:clientData/>
  </xdr:twoCellAnchor>
  <xdr:twoCellAnchor>
    <xdr:from>
      <xdr:col>1</xdr:col>
      <xdr:colOff>575387</xdr:colOff>
      <xdr:row>1</xdr:row>
      <xdr:rowOff>32042</xdr:rowOff>
    </xdr:from>
    <xdr:to>
      <xdr:col>4</xdr:col>
      <xdr:colOff>355100</xdr:colOff>
      <xdr:row>3</xdr:row>
      <xdr:rowOff>152502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33E20E1C-152F-2BDF-E2A5-971C7CB69EC2}"/>
            </a:ext>
          </a:extLst>
        </xdr:cNvPr>
        <xdr:cNvGrpSpPr/>
      </xdr:nvGrpSpPr>
      <xdr:grpSpPr>
        <a:xfrm>
          <a:off x="1252720" y="229598"/>
          <a:ext cx="1614158" cy="515571"/>
          <a:chOff x="1127449" y="203122"/>
          <a:chExt cx="1430556" cy="493437"/>
        </a:xfrm>
      </xdr:grpSpPr>
      <xdr:sp macro="[0]!GoTo_Start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1A7AD2A-D01C-7E3E-E77E-7423925C89CC}"/>
              </a:ext>
            </a:extLst>
          </xdr:cNvPr>
          <xdr:cNvSpPr/>
        </xdr:nvSpPr>
        <xdr:spPr>
          <a:xfrm>
            <a:off x="1138408" y="203122"/>
            <a:ext cx="1419597" cy="493437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Start</a:t>
            </a:r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88F08AD-E53C-4BF5-A245-A4787D9E34AB}"/>
              </a:ext>
            </a:extLst>
          </xdr:cNvPr>
          <xdr:cNvSpPr/>
        </xdr:nvSpPr>
        <xdr:spPr>
          <a:xfrm>
            <a:off x="1127449" y="287694"/>
            <a:ext cx="324925" cy="313820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0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607696</xdr:colOff>
      <xdr:row>6</xdr:row>
      <xdr:rowOff>25719</xdr:rowOff>
    </xdr:from>
    <xdr:to>
      <xdr:col>4</xdr:col>
      <xdr:colOff>20956</xdr:colOff>
      <xdr:row>7</xdr:row>
      <xdr:rowOff>145733</xdr:rowOff>
    </xdr:to>
    <xdr:sp macro="[0]!GoTo_2_1" textlink="">
      <xdr:nvSpPr>
        <xdr:cNvPr id="3" name="Rectangle 2">
          <a:extLst>
            <a:ext uri="{FF2B5EF4-FFF2-40B4-BE49-F238E27FC236}">
              <a16:creationId xmlns:a16="http://schemas.microsoft.com/office/drawing/2014/main" id="{FC024A10-B73D-48E5-8CF9-278D6C5B6949}"/>
            </a:ext>
          </a:extLst>
        </xdr:cNvPr>
        <xdr:cNvSpPr/>
      </xdr:nvSpPr>
      <xdr:spPr>
        <a:xfrm>
          <a:off x="1217296" y="1298259"/>
          <a:ext cx="1066800" cy="493394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Agroforestry</a:t>
          </a:r>
        </a:p>
      </xdr:txBody>
    </xdr:sp>
    <xdr:clientData/>
  </xdr:twoCellAnchor>
  <xdr:twoCellAnchor>
    <xdr:from>
      <xdr:col>4</xdr:col>
      <xdr:colOff>306705</xdr:colOff>
      <xdr:row>6</xdr:row>
      <xdr:rowOff>24767</xdr:rowOff>
    </xdr:from>
    <xdr:to>
      <xdr:col>7</xdr:col>
      <xdr:colOff>190500</xdr:colOff>
      <xdr:row>7</xdr:row>
      <xdr:rowOff>144781</xdr:rowOff>
    </xdr:to>
    <xdr:sp macro="[0]!GoTo_2_2" textlink="">
      <xdr:nvSpPr>
        <xdr:cNvPr id="4" name="Rectangle 3">
          <a:extLst>
            <a:ext uri="{FF2B5EF4-FFF2-40B4-BE49-F238E27FC236}">
              <a16:creationId xmlns:a16="http://schemas.microsoft.com/office/drawing/2014/main" id="{406849A4-A667-4B6C-A099-E9B244FDBAEE}"/>
            </a:ext>
          </a:extLst>
        </xdr:cNvPr>
        <xdr:cNvSpPr/>
      </xdr:nvSpPr>
      <xdr:spPr>
        <a:xfrm>
          <a:off x="2573655" y="1297307"/>
          <a:ext cx="1331595" cy="493394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Forest plantation</a:t>
          </a:r>
        </a:p>
      </xdr:txBody>
    </xdr:sp>
    <xdr:clientData/>
  </xdr:twoCellAnchor>
  <xdr:twoCellAnchor>
    <xdr:from>
      <xdr:col>7</xdr:col>
      <xdr:colOff>548641</xdr:colOff>
      <xdr:row>6</xdr:row>
      <xdr:rowOff>20958</xdr:rowOff>
    </xdr:from>
    <xdr:to>
      <xdr:col>10</xdr:col>
      <xdr:colOff>135256</xdr:colOff>
      <xdr:row>7</xdr:row>
      <xdr:rowOff>152400</xdr:rowOff>
    </xdr:to>
    <xdr:sp macro="[0]!GoTo_2_3" textlink="">
      <xdr:nvSpPr>
        <xdr:cNvPr id="5" name="Rectangle 4">
          <a:extLst>
            <a:ext uri="{FF2B5EF4-FFF2-40B4-BE49-F238E27FC236}">
              <a16:creationId xmlns:a16="http://schemas.microsoft.com/office/drawing/2014/main" id="{7E3FB468-2540-4F3A-9850-2F9B683B077B}"/>
            </a:ext>
          </a:extLst>
        </xdr:cNvPr>
        <xdr:cNvSpPr/>
      </xdr:nvSpPr>
      <xdr:spPr>
        <a:xfrm>
          <a:off x="4267201" y="1293498"/>
          <a:ext cx="1388745" cy="506727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Natural</a:t>
          </a:r>
          <a:r>
            <a:rPr lang="fr-FR" sz="1200" baseline="0"/>
            <a:t> regeneration</a:t>
          </a:r>
          <a:endParaRPr lang="fr-FR" sz="1200"/>
        </a:p>
      </xdr:txBody>
    </xdr:sp>
    <xdr:clientData/>
  </xdr:twoCellAnchor>
  <xdr:twoCellAnchor editAs="oneCell">
    <xdr:from>
      <xdr:col>12</xdr:col>
      <xdr:colOff>571500</xdr:colOff>
      <xdr:row>5</xdr:row>
      <xdr:rowOff>240031</xdr:rowOff>
    </xdr:from>
    <xdr:to>
      <xdr:col>14</xdr:col>
      <xdr:colOff>418889</xdr:colOff>
      <xdr:row>8</xdr:row>
      <xdr:rowOff>134939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065D8C2-BDDD-4E1C-A369-5451096E78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29475" y="1144906"/>
          <a:ext cx="714164" cy="809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267759</xdr:colOff>
      <xdr:row>5</xdr:row>
      <xdr:rowOff>219075</xdr:rowOff>
    </xdr:from>
    <xdr:to>
      <xdr:col>16</xdr:col>
      <xdr:colOff>1089024</xdr:colOff>
      <xdr:row>8</xdr:row>
      <xdr:rowOff>134171</xdr:rowOff>
    </xdr:to>
    <xdr:pic>
      <xdr:nvPicPr>
        <xdr:cNvPr id="9" name="Picture 8" descr="UNEP Logo Download png">
          <a:extLst>
            <a:ext uri="{FF2B5EF4-FFF2-40B4-BE49-F238E27FC236}">
              <a16:creationId xmlns:a16="http://schemas.microsoft.com/office/drawing/2014/main" id="{B2BAF449-3EE1-4B34-B8D2-06D9360630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8" t="1703" r="1851" b="2296"/>
        <a:stretch/>
      </xdr:blipFill>
      <xdr:spPr bwMode="auto">
        <a:xfrm>
          <a:off x="9116484" y="1123950"/>
          <a:ext cx="825075" cy="825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611928</xdr:colOff>
      <xdr:row>5</xdr:row>
      <xdr:rowOff>231217</xdr:rowOff>
    </xdr:from>
    <xdr:to>
      <xdr:col>16</xdr:col>
      <xdr:colOff>96519</xdr:colOff>
      <xdr:row>8</xdr:row>
      <xdr:rowOff>134045</xdr:rowOff>
    </xdr:to>
    <xdr:pic>
      <xdr:nvPicPr>
        <xdr:cNvPr id="10" name="Picture 9" descr="A blue square with white letters and a logo&#10;&#10;Description automatically generated">
          <a:extLst>
            <a:ext uri="{FF2B5EF4-FFF2-40B4-BE49-F238E27FC236}">
              <a16:creationId xmlns:a16="http://schemas.microsoft.com/office/drawing/2014/main" id="{17472F6F-AD4C-4D06-9583-EDF091634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6678" y="1136092"/>
          <a:ext cx="804756" cy="817228"/>
        </a:xfrm>
        <a:prstGeom prst="rect">
          <a:avLst/>
        </a:prstGeom>
      </xdr:spPr>
    </xdr:pic>
    <xdr:clientData/>
  </xdr:twoCellAnchor>
  <xdr:twoCellAnchor>
    <xdr:from>
      <xdr:col>20</xdr:col>
      <xdr:colOff>234077</xdr:colOff>
      <xdr:row>1</xdr:row>
      <xdr:rowOff>70484</xdr:rowOff>
    </xdr:from>
    <xdr:to>
      <xdr:col>23</xdr:col>
      <xdr:colOff>117216</xdr:colOff>
      <xdr:row>3</xdr:row>
      <xdr:rowOff>182724</xdr:rowOff>
    </xdr:to>
    <xdr:sp macro="[0]!GoTo_Results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40F61D3B-1804-CCE1-2A8D-77A9D5694E9E}"/>
            </a:ext>
          </a:extLst>
        </xdr:cNvPr>
        <xdr:cNvSpPr/>
      </xdr:nvSpPr>
      <xdr:spPr>
        <a:xfrm>
          <a:off x="11625977" y="253364"/>
          <a:ext cx="1643359" cy="478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1">
              <a:solidFill>
                <a:schemeClr val="bg1">
                  <a:lumMod val="95000"/>
                </a:schemeClr>
              </a:solidFill>
            </a:rPr>
            <a:t>Results </a:t>
          </a:r>
        </a:p>
      </xdr:txBody>
    </xdr:sp>
    <xdr:clientData/>
  </xdr:twoCellAnchor>
  <xdr:twoCellAnchor>
    <xdr:from>
      <xdr:col>8</xdr:col>
      <xdr:colOff>672942</xdr:colOff>
      <xdr:row>1</xdr:row>
      <xdr:rowOff>38100</xdr:rowOff>
    </xdr:from>
    <xdr:to>
      <xdr:col>12</xdr:col>
      <xdr:colOff>218724</xdr:colOff>
      <xdr:row>3</xdr:row>
      <xdr:rowOff>167146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7C2860D3-1590-F3F6-1D15-A8E65CDBB960}"/>
            </a:ext>
          </a:extLst>
        </xdr:cNvPr>
        <xdr:cNvGrpSpPr/>
      </xdr:nvGrpSpPr>
      <xdr:grpSpPr>
        <a:xfrm>
          <a:off x="5625942" y="235656"/>
          <a:ext cx="2015226" cy="524157"/>
          <a:chOff x="5148098" y="199908"/>
          <a:chExt cx="1759587" cy="490918"/>
        </a:xfrm>
      </xdr:grpSpPr>
      <xdr:sp macro="[0]!GoTo_AR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8EAC53E7-F023-C740-A384-019DA9DF3E08}"/>
              </a:ext>
            </a:extLst>
          </xdr:cNvPr>
          <xdr:cNvSpPr/>
        </xdr:nvSpPr>
        <xdr:spPr>
          <a:xfrm>
            <a:off x="5156011" y="199908"/>
            <a:ext cx="1751674" cy="490918"/>
          </a:xfrm>
          <a:prstGeom prst="roundRect">
            <a:avLst/>
          </a:prstGeom>
          <a:solidFill>
            <a:schemeClr val="accent3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Afforestation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Reforestation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55" name="Rectangle: Rounded Corners 54">
            <a:extLst>
              <a:ext uri="{FF2B5EF4-FFF2-40B4-BE49-F238E27FC236}">
                <a16:creationId xmlns:a16="http://schemas.microsoft.com/office/drawing/2014/main" id="{9119279B-E93C-527A-EF70-7FEF46AE6304}"/>
              </a:ext>
            </a:extLst>
          </xdr:cNvPr>
          <xdr:cNvSpPr/>
        </xdr:nvSpPr>
        <xdr:spPr>
          <a:xfrm>
            <a:off x="5148098" y="282487"/>
            <a:ext cx="323460" cy="310406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2 </a:t>
            </a:r>
          </a:p>
        </xdr:txBody>
      </xdr:sp>
    </xdr:grpSp>
    <xdr:clientData/>
  </xdr:twoCellAnchor>
  <xdr:twoCellAnchor>
    <xdr:from>
      <xdr:col>13</xdr:col>
      <xdr:colOff>44023</xdr:colOff>
      <xdr:row>1</xdr:row>
      <xdr:rowOff>42545</xdr:rowOff>
    </xdr:from>
    <xdr:to>
      <xdr:col>16</xdr:col>
      <xdr:colOff>93752</xdr:colOff>
      <xdr:row>3</xdr:row>
      <xdr:rowOff>178915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5A95BF0D-37C8-8DD6-344F-96CB062127C9}"/>
            </a:ext>
          </a:extLst>
        </xdr:cNvPr>
        <xdr:cNvGrpSpPr/>
      </xdr:nvGrpSpPr>
      <xdr:grpSpPr>
        <a:xfrm>
          <a:off x="8143801" y="240101"/>
          <a:ext cx="1799507" cy="531481"/>
          <a:chOff x="7344605" y="204353"/>
          <a:chExt cx="1626913" cy="498242"/>
        </a:xfrm>
      </xdr:grpSpPr>
      <xdr:sp macro="[0]!GoTo_Agriculture" textlink="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E7CD38D6-7D9A-93BF-92C7-471B326B46BD}"/>
              </a:ext>
            </a:extLst>
          </xdr:cNvPr>
          <xdr:cNvSpPr/>
        </xdr:nvSpPr>
        <xdr:spPr>
          <a:xfrm>
            <a:off x="7344605" y="204353"/>
            <a:ext cx="1626913" cy="49824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Agriculture</a:t>
            </a:r>
          </a:p>
        </xdr:txBody>
      </xdr:sp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8EA9D8E8-A4CD-427A-373F-632B1096FE88}"/>
              </a:ext>
            </a:extLst>
          </xdr:cNvPr>
          <xdr:cNvSpPr/>
        </xdr:nvSpPr>
        <xdr:spPr>
          <a:xfrm>
            <a:off x="7347857" y="289676"/>
            <a:ext cx="326065" cy="31511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3 </a:t>
            </a:r>
          </a:p>
        </xdr:txBody>
      </xdr:sp>
    </xdr:grpSp>
    <xdr:clientData/>
  </xdr:twoCellAnchor>
  <xdr:twoCellAnchor>
    <xdr:from>
      <xdr:col>5</xdr:col>
      <xdr:colOff>109208</xdr:colOff>
      <xdr:row>1</xdr:row>
      <xdr:rowOff>43815</xdr:rowOff>
    </xdr:from>
    <xdr:to>
      <xdr:col>8</xdr:col>
      <xdr:colOff>187038</xdr:colOff>
      <xdr:row>3</xdr:row>
      <xdr:rowOff>162879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62C4C1CD-9720-BF55-57DE-89384B148667}"/>
            </a:ext>
          </a:extLst>
        </xdr:cNvPr>
        <xdr:cNvGrpSpPr/>
      </xdr:nvGrpSpPr>
      <xdr:grpSpPr>
        <a:xfrm>
          <a:off x="3298319" y="241371"/>
          <a:ext cx="1841719" cy="514175"/>
          <a:chOff x="2991667" y="205623"/>
          <a:chExt cx="1668622" cy="480936"/>
        </a:xfrm>
      </xdr:grpSpPr>
      <xdr:sp macro="[0]!GoTo_Energy" textlink="">
        <xdr:nvSpPr>
          <xdr:cNvPr id="50" name="Rectangle: Rounded Corners 49">
            <a:extLst>
              <a:ext uri="{FF2B5EF4-FFF2-40B4-BE49-F238E27FC236}">
                <a16:creationId xmlns:a16="http://schemas.microsoft.com/office/drawing/2014/main" id="{7B36CED1-AE4B-8C1E-7640-E4D76473EF35}"/>
              </a:ext>
            </a:extLst>
          </xdr:cNvPr>
          <xdr:cNvSpPr/>
        </xdr:nvSpPr>
        <xdr:spPr>
          <a:xfrm>
            <a:off x="3004062" y="205623"/>
            <a:ext cx="1656227" cy="480936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Energy </a:t>
            </a:r>
          </a:p>
        </xdr:txBody>
      </xdr:sp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E02B9BB1-10A9-5ABE-9AE5-56F4FAC1C67A}"/>
              </a:ext>
            </a:extLst>
          </xdr:cNvPr>
          <xdr:cNvSpPr/>
        </xdr:nvSpPr>
        <xdr:spPr>
          <a:xfrm>
            <a:off x="2991667" y="297491"/>
            <a:ext cx="326065" cy="31130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1 </a:t>
            </a:r>
          </a:p>
        </xdr:txBody>
      </xdr:sp>
    </xdr:grpSp>
    <xdr:clientData/>
  </xdr:twoCellAnchor>
  <xdr:twoCellAnchor>
    <xdr:from>
      <xdr:col>16</xdr:col>
      <xdr:colOff>585030</xdr:colOff>
      <xdr:row>1</xdr:row>
      <xdr:rowOff>40005</xdr:rowOff>
    </xdr:from>
    <xdr:to>
      <xdr:col>18</xdr:col>
      <xdr:colOff>695558</xdr:colOff>
      <xdr:row>3</xdr:row>
      <xdr:rowOff>182725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90DC9A84-FE25-2376-E448-05B3BC854F2E}"/>
            </a:ext>
          </a:extLst>
        </xdr:cNvPr>
        <xdr:cNvGrpSpPr/>
      </xdr:nvGrpSpPr>
      <xdr:grpSpPr>
        <a:xfrm>
          <a:off x="10434586" y="237561"/>
          <a:ext cx="1832083" cy="537831"/>
          <a:chOff x="9466684" y="201813"/>
          <a:chExt cx="1655445" cy="504592"/>
        </a:xfrm>
      </xdr:grpSpPr>
      <xdr:sp macro="[0]!GoTo_Forestry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1C4E2EA0-499B-BC42-DCFB-DAD698EE06F5}"/>
              </a:ext>
            </a:extLst>
          </xdr:cNvPr>
          <xdr:cNvSpPr/>
        </xdr:nvSpPr>
        <xdr:spPr>
          <a:xfrm>
            <a:off x="9468234" y="201813"/>
            <a:ext cx="1653895" cy="50459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Forestry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     Conservation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19D65876-29C9-C039-AD0F-FCCF2926DF13}"/>
              </a:ext>
            </a:extLst>
          </xdr:cNvPr>
          <xdr:cNvSpPr/>
        </xdr:nvSpPr>
        <xdr:spPr>
          <a:xfrm>
            <a:off x="9466684" y="301302"/>
            <a:ext cx="322255" cy="30749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4 </a:t>
            </a:r>
          </a:p>
        </xdr:txBody>
      </xdr:sp>
    </xdr:grpSp>
    <xdr:clientData/>
  </xdr:twoCellAnchor>
  <xdr:twoCellAnchor>
    <xdr:from>
      <xdr:col>1</xdr:col>
      <xdr:colOff>533400</xdr:colOff>
      <xdr:row>1</xdr:row>
      <xdr:rowOff>39370</xdr:rowOff>
    </xdr:from>
    <xdr:to>
      <xdr:col>4</xdr:col>
      <xdr:colOff>310416</xdr:colOff>
      <xdr:row>3</xdr:row>
      <xdr:rowOff>167047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F51BC7B3-2068-1A97-F7AC-DF86228E4CB4}"/>
            </a:ext>
          </a:extLst>
        </xdr:cNvPr>
        <xdr:cNvGrpSpPr/>
      </xdr:nvGrpSpPr>
      <xdr:grpSpPr>
        <a:xfrm>
          <a:off x="1210733" y="236926"/>
          <a:ext cx="1611461" cy="522788"/>
          <a:chOff x="1127449" y="203122"/>
          <a:chExt cx="1430556" cy="493437"/>
        </a:xfrm>
      </xdr:grpSpPr>
      <xdr:sp macro="[0]!GoTo_Start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B3127145-A3CF-C903-31B8-D2D945AC19B4}"/>
              </a:ext>
            </a:extLst>
          </xdr:cNvPr>
          <xdr:cNvSpPr/>
        </xdr:nvSpPr>
        <xdr:spPr>
          <a:xfrm>
            <a:off x="1138408" y="203122"/>
            <a:ext cx="1419597" cy="493437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Start</a:t>
            </a:r>
          </a:p>
        </xdr:txBody>
      </xdr:sp>
      <xdr:sp macro="" textlink="">
        <xdr:nvSpPr>
          <xdr:cNvPr id="47" name="Rectangle: Rounded Corners 46">
            <a:extLst>
              <a:ext uri="{FF2B5EF4-FFF2-40B4-BE49-F238E27FC236}">
                <a16:creationId xmlns:a16="http://schemas.microsoft.com/office/drawing/2014/main" id="{FBF86D3E-2D09-A6B6-6A69-927B517E3DC7}"/>
              </a:ext>
            </a:extLst>
          </xdr:cNvPr>
          <xdr:cNvSpPr/>
        </xdr:nvSpPr>
        <xdr:spPr>
          <a:xfrm>
            <a:off x="1127449" y="287694"/>
            <a:ext cx="324925" cy="313820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0 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607696</xdr:colOff>
      <xdr:row>6</xdr:row>
      <xdr:rowOff>8098</xdr:rowOff>
    </xdr:from>
    <xdr:to>
      <xdr:col>4</xdr:col>
      <xdr:colOff>20956</xdr:colOff>
      <xdr:row>7</xdr:row>
      <xdr:rowOff>128112</xdr:rowOff>
    </xdr:to>
    <xdr:sp macro="[0]!GoTo_3_1" textlink="">
      <xdr:nvSpPr>
        <xdr:cNvPr id="3" name="Rectangle 2">
          <a:extLst>
            <a:ext uri="{FF2B5EF4-FFF2-40B4-BE49-F238E27FC236}">
              <a16:creationId xmlns:a16="http://schemas.microsoft.com/office/drawing/2014/main" id="{E2FE4AF1-E356-46FF-826E-91E00CCF2187}"/>
            </a:ext>
          </a:extLst>
        </xdr:cNvPr>
        <xdr:cNvSpPr/>
      </xdr:nvSpPr>
      <xdr:spPr>
        <a:xfrm>
          <a:off x="1217296" y="1295878"/>
          <a:ext cx="1066800" cy="493394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Deforestation-free outgrower</a:t>
          </a:r>
        </a:p>
      </xdr:txBody>
    </xdr:sp>
    <xdr:clientData/>
  </xdr:twoCellAnchor>
  <xdr:twoCellAnchor>
    <xdr:from>
      <xdr:col>4</xdr:col>
      <xdr:colOff>413385</xdr:colOff>
      <xdr:row>6</xdr:row>
      <xdr:rowOff>7146</xdr:rowOff>
    </xdr:from>
    <xdr:to>
      <xdr:col>7</xdr:col>
      <xdr:colOff>249555</xdr:colOff>
      <xdr:row>7</xdr:row>
      <xdr:rowOff>129065</xdr:rowOff>
    </xdr:to>
    <xdr:sp macro="[0]!GoTo_3_2" textlink="">
      <xdr:nvSpPr>
        <xdr:cNvPr id="4" name="Rectangle 3">
          <a:extLst>
            <a:ext uri="{FF2B5EF4-FFF2-40B4-BE49-F238E27FC236}">
              <a16:creationId xmlns:a16="http://schemas.microsoft.com/office/drawing/2014/main" id="{8BD93375-BCE9-4A7F-99FF-BF66F5B43D07}"/>
            </a:ext>
          </a:extLst>
        </xdr:cNvPr>
        <xdr:cNvSpPr/>
      </xdr:nvSpPr>
      <xdr:spPr>
        <a:xfrm>
          <a:off x="2676525" y="1294926"/>
          <a:ext cx="1283970" cy="495299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Agro-industrial expansion</a:t>
          </a:r>
        </a:p>
      </xdr:txBody>
    </xdr:sp>
    <xdr:clientData/>
  </xdr:twoCellAnchor>
  <xdr:twoCellAnchor>
    <xdr:from>
      <xdr:col>8</xdr:col>
      <xdr:colOff>0</xdr:colOff>
      <xdr:row>6</xdr:row>
      <xdr:rowOff>1432</xdr:rowOff>
    </xdr:from>
    <xdr:to>
      <xdr:col>11</xdr:col>
      <xdr:colOff>236220</xdr:colOff>
      <xdr:row>7</xdr:row>
      <xdr:rowOff>134779</xdr:rowOff>
    </xdr:to>
    <xdr:sp macro="[0]!GoTo_3_3" textlink="">
      <xdr:nvSpPr>
        <xdr:cNvPr id="5" name="Rectangle 4">
          <a:extLst>
            <a:ext uri="{FF2B5EF4-FFF2-40B4-BE49-F238E27FC236}">
              <a16:creationId xmlns:a16="http://schemas.microsoft.com/office/drawing/2014/main" id="{3D2C0C9B-CCE7-469E-92BE-BEA9820F5207}"/>
            </a:ext>
          </a:extLst>
        </xdr:cNvPr>
        <xdr:cNvSpPr/>
      </xdr:nvSpPr>
      <xdr:spPr>
        <a:xfrm>
          <a:off x="4351020" y="1289212"/>
          <a:ext cx="1478280" cy="506727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Sustainable intensification</a:t>
          </a:r>
        </a:p>
      </xdr:txBody>
    </xdr:sp>
    <xdr:clientData/>
  </xdr:twoCellAnchor>
  <xdr:twoCellAnchor>
    <xdr:from>
      <xdr:col>11</xdr:col>
      <xdr:colOff>1611630</xdr:colOff>
      <xdr:row>10</xdr:row>
      <xdr:rowOff>55246</xdr:rowOff>
    </xdr:from>
    <xdr:to>
      <xdr:col>13</xdr:col>
      <xdr:colOff>297179</xdr:colOff>
      <xdr:row>10</xdr:row>
      <xdr:rowOff>321946</xdr:rowOff>
    </xdr:to>
    <xdr:sp macro="[0]!GoTo_3_1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AFC312A-78F6-4829-8721-FBC8076D4684}"/>
            </a:ext>
          </a:extLst>
        </xdr:cNvPr>
        <xdr:cNvSpPr/>
      </xdr:nvSpPr>
      <xdr:spPr>
        <a:xfrm>
          <a:off x="7212330" y="2245996"/>
          <a:ext cx="638174" cy="2667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</a:rPr>
            <a:t>Tier 3</a:t>
          </a:r>
        </a:p>
      </xdr:txBody>
    </xdr:sp>
    <xdr:clientData/>
  </xdr:twoCellAnchor>
  <xdr:twoCellAnchor>
    <xdr:from>
      <xdr:col>12</xdr:col>
      <xdr:colOff>0</xdr:colOff>
      <xdr:row>28</xdr:row>
      <xdr:rowOff>57150</xdr:rowOff>
    </xdr:from>
    <xdr:to>
      <xdr:col>13</xdr:col>
      <xdr:colOff>384809</xdr:colOff>
      <xdr:row>28</xdr:row>
      <xdr:rowOff>323850</xdr:rowOff>
    </xdr:to>
    <xdr:sp macro="[0]!GoTo_3_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8AB3751-F0C2-4D4B-B2F0-0C421651A999}"/>
            </a:ext>
          </a:extLst>
        </xdr:cNvPr>
        <xdr:cNvSpPr/>
      </xdr:nvSpPr>
      <xdr:spPr>
        <a:xfrm>
          <a:off x="7305675" y="6391275"/>
          <a:ext cx="632459" cy="2667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</a:rPr>
            <a:t>Tier 3</a:t>
          </a:r>
        </a:p>
      </xdr:txBody>
    </xdr:sp>
    <xdr:clientData/>
  </xdr:twoCellAnchor>
  <xdr:twoCellAnchor>
    <xdr:from>
      <xdr:col>13</xdr:col>
      <xdr:colOff>0</xdr:colOff>
      <xdr:row>46</xdr:row>
      <xdr:rowOff>68580</xdr:rowOff>
    </xdr:from>
    <xdr:to>
      <xdr:col>13</xdr:col>
      <xdr:colOff>628649</xdr:colOff>
      <xdr:row>46</xdr:row>
      <xdr:rowOff>335280</xdr:rowOff>
    </xdr:to>
    <xdr:sp macro="[0]!GoTo_3_3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200751-9F24-41F8-8586-27356B24FEDD}"/>
            </a:ext>
          </a:extLst>
        </xdr:cNvPr>
        <xdr:cNvSpPr/>
      </xdr:nvSpPr>
      <xdr:spPr>
        <a:xfrm>
          <a:off x="7553325" y="10546080"/>
          <a:ext cx="628649" cy="2667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</a:rPr>
            <a:t>Tier 3</a:t>
          </a:r>
        </a:p>
      </xdr:txBody>
    </xdr:sp>
    <xdr:clientData/>
  </xdr:twoCellAnchor>
  <xdr:twoCellAnchor editAs="oneCell">
    <xdr:from>
      <xdr:col>11</xdr:col>
      <xdr:colOff>1647825</xdr:colOff>
      <xdr:row>5</xdr:row>
      <xdr:rowOff>144781</xdr:rowOff>
    </xdr:from>
    <xdr:to>
      <xdr:col>13</xdr:col>
      <xdr:colOff>403649</xdr:colOff>
      <xdr:row>8</xdr:row>
      <xdr:rowOff>28259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439D5565-4991-44B5-B167-1E85DE04F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1049656"/>
          <a:ext cx="708449" cy="807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1580304</xdr:colOff>
      <xdr:row>5</xdr:row>
      <xdr:rowOff>120015</xdr:rowOff>
    </xdr:from>
    <xdr:to>
      <xdr:col>15</xdr:col>
      <xdr:colOff>456564</xdr:colOff>
      <xdr:row>8</xdr:row>
      <xdr:rowOff>31301</xdr:rowOff>
    </xdr:to>
    <xdr:pic>
      <xdr:nvPicPr>
        <xdr:cNvPr id="25" name="Picture 24" descr="UNEP Logo Download png">
          <a:extLst>
            <a:ext uri="{FF2B5EF4-FFF2-40B4-BE49-F238E27FC236}">
              <a16:creationId xmlns:a16="http://schemas.microsoft.com/office/drawing/2014/main" id="{317D5EF4-91B6-403B-A00E-0F4B8CFC0DD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8" t="1703" r="1851" b="2296"/>
        <a:stretch/>
      </xdr:blipFill>
      <xdr:spPr bwMode="auto">
        <a:xfrm>
          <a:off x="9133629" y="1024890"/>
          <a:ext cx="809835" cy="8352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600498</xdr:colOff>
      <xdr:row>5</xdr:row>
      <xdr:rowOff>145492</xdr:rowOff>
    </xdr:from>
    <xdr:to>
      <xdr:col>13</xdr:col>
      <xdr:colOff>1412874</xdr:colOff>
      <xdr:row>8</xdr:row>
      <xdr:rowOff>38795</xdr:rowOff>
    </xdr:to>
    <xdr:pic>
      <xdr:nvPicPr>
        <xdr:cNvPr id="26" name="Picture 25" descr="A blue square with white letters and a logo&#10;&#10;Description automatically generated">
          <a:extLst>
            <a:ext uri="{FF2B5EF4-FFF2-40B4-BE49-F238E27FC236}">
              <a16:creationId xmlns:a16="http://schemas.microsoft.com/office/drawing/2014/main" id="{9A862615-3FC7-4356-8874-86BFC1A2F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3823" y="1050367"/>
          <a:ext cx="812376" cy="817228"/>
        </a:xfrm>
        <a:prstGeom prst="rect">
          <a:avLst/>
        </a:prstGeom>
      </xdr:spPr>
    </xdr:pic>
    <xdr:clientData/>
  </xdr:twoCellAnchor>
  <xdr:twoCellAnchor>
    <xdr:from>
      <xdr:col>20</xdr:col>
      <xdr:colOff>40479</xdr:colOff>
      <xdr:row>1</xdr:row>
      <xdr:rowOff>77630</xdr:rowOff>
    </xdr:from>
    <xdr:to>
      <xdr:col>24</xdr:col>
      <xdr:colOff>193416</xdr:colOff>
      <xdr:row>3</xdr:row>
      <xdr:rowOff>182879</xdr:rowOff>
    </xdr:to>
    <xdr:sp macro="[0]!GoTo_Result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EC3AEA5-D221-B43F-2241-F2B58A013E1F}"/>
            </a:ext>
          </a:extLst>
        </xdr:cNvPr>
        <xdr:cNvSpPr/>
      </xdr:nvSpPr>
      <xdr:spPr>
        <a:xfrm>
          <a:off x="11706699" y="260510"/>
          <a:ext cx="1646457" cy="47100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1">
              <a:solidFill>
                <a:schemeClr val="bg1">
                  <a:lumMod val="95000"/>
                </a:schemeClr>
              </a:solidFill>
            </a:rPr>
            <a:t>Results </a:t>
          </a:r>
        </a:p>
      </xdr:txBody>
    </xdr:sp>
    <xdr:clientData/>
  </xdr:twoCellAnchor>
  <xdr:twoCellAnchor>
    <xdr:from>
      <xdr:col>9</xdr:col>
      <xdr:colOff>451859</xdr:colOff>
      <xdr:row>1</xdr:row>
      <xdr:rowOff>45720</xdr:rowOff>
    </xdr:from>
    <xdr:to>
      <xdr:col>11</xdr:col>
      <xdr:colOff>1357296</xdr:colOff>
      <xdr:row>3</xdr:row>
      <xdr:rowOff>167529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487FF379-6E37-A2B0-4604-D7D1BA9F9951}"/>
            </a:ext>
          </a:extLst>
        </xdr:cNvPr>
        <xdr:cNvGrpSpPr/>
      </xdr:nvGrpSpPr>
      <xdr:grpSpPr>
        <a:xfrm>
          <a:off x="5715303" y="243276"/>
          <a:ext cx="1850882" cy="516920"/>
          <a:chOff x="5148098" y="199908"/>
          <a:chExt cx="1759587" cy="490918"/>
        </a:xfrm>
      </xdr:grpSpPr>
      <xdr:sp macro="[0]!GoTo_AR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92223C2F-5A23-5E92-367B-CE54176211D0}"/>
              </a:ext>
            </a:extLst>
          </xdr:cNvPr>
          <xdr:cNvSpPr/>
        </xdr:nvSpPr>
        <xdr:spPr>
          <a:xfrm>
            <a:off x="5156011" y="199908"/>
            <a:ext cx="1751674" cy="490918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Afforestation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Reforestation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41" name="Rectangle: Rounded Corners 40">
            <a:extLst>
              <a:ext uri="{FF2B5EF4-FFF2-40B4-BE49-F238E27FC236}">
                <a16:creationId xmlns:a16="http://schemas.microsoft.com/office/drawing/2014/main" id="{EE686045-5E52-2EAB-A313-26EF1E95CA04}"/>
              </a:ext>
            </a:extLst>
          </xdr:cNvPr>
          <xdr:cNvSpPr/>
        </xdr:nvSpPr>
        <xdr:spPr>
          <a:xfrm>
            <a:off x="5148098" y="282487"/>
            <a:ext cx="323460" cy="310406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2 </a:t>
            </a:r>
          </a:p>
        </xdr:txBody>
      </xdr:sp>
    </xdr:grpSp>
    <xdr:clientData/>
  </xdr:twoCellAnchor>
  <xdr:twoCellAnchor>
    <xdr:from>
      <xdr:col>12</xdr:col>
      <xdr:colOff>86135</xdr:colOff>
      <xdr:row>1</xdr:row>
      <xdr:rowOff>50100</xdr:rowOff>
    </xdr:from>
    <xdr:to>
      <xdr:col>13</xdr:col>
      <xdr:colOff>1472446</xdr:colOff>
      <xdr:row>3</xdr:row>
      <xdr:rowOff>179126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C4E6F4F-DCED-38BB-5783-90561BD86020}"/>
            </a:ext>
          </a:extLst>
        </xdr:cNvPr>
        <xdr:cNvGrpSpPr/>
      </xdr:nvGrpSpPr>
      <xdr:grpSpPr>
        <a:xfrm>
          <a:off x="8185913" y="247656"/>
          <a:ext cx="1668533" cy="524137"/>
          <a:chOff x="7344605" y="204353"/>
          <a:chExt cx="1626913" cy="498242"/>
        </a:xfrm>
      </xdr:grpSpPr>
      <xdr:sp macro="[0]!GoTo_Agriculture" textlink="">
        <xdr:nvSpPr>
          <xdr:cNvPr id="38" name="Rectangle: Rounded Corners 37">
            <a:extLst>
              <a:ext uri="{FF2B5EF4-FFF2-40B4-BE49-F238E27FC236}">
                <a16:creationId xmlns:a16="http://schemas.microsoft.com/office/drawing/2014/main" id="{424B4AB6-FCA7-588B-A35D-7A039912D0D6}"/>
              </a:ext>
            </a:extLst>
          </xdr:cNvPr>
          <xdr:cNvSpPr/>
        </xdr:nvSpPr>
        <xdr:spPr>
          <a:xfrm>
            <a:off x="7344605" y="204353"/>
            <a:ext cx="1626913" cy="498242"/>
          </a:xfrm>
          <a:prstGeom prst="roundRect">
            <a:avLst/>
          </a:prstGeom>
          <a:solidFill>
            <a:schemeClr val="accent3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Agriculture</a:t>
            </a:r>
          </a:p>
        </xdr:txBody>
      </xdr:sp>
      <xdr:sp macro="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6A8855C2-3B15-5E40-3430-1DE7AA99420B}"/>
              </a:ext>
            </a:extLst>
          </xdr:cNvPr>
          <xdr:cNvSpPr/>
        </xdr:nvSpPr>
        <xdr:spPr>
          <a:xfrm>
            <a:off x="7347857" y="289676"/>
            <a:ext cx="326065" cy="315113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3 </a:t>
            </a:r>
          </a:p>
        </xdr:txBody>
      </xdr:sp>
    </xdr:grpSp>
    <xdr:clientData/>
  </xdr:twoCellAnchor>
  <xdr:twoCellAnchor>
    <xdr:from>
      <xdr:col>5</xdr:col>
      <xdr:colOff>173635</xdr:colOff>
      <xdr:row>1</xdr:row>
      <xdr:rowOff>51351</xdr:rowOff>
    </xdr:from>
    <xdr:to>
      <xdr:col>8</xdr:col>
      <xdr:colOff>361280</xdr:colOff>
      <xdr:row>3</xdr:row>
      <xdr:rowOff>163324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851630B1-7E21-8BEC-B0FE-AEA3FF5FDED8}"/>
            </a:ext>
          </a:extLst>
        </xdr:cNvPr>
        <xdr:cNvGrpSpPr/>
      </xdr:nvGrpSpPr>
      <xdr:grpSpPr>
        <a:xfrm>
          <a:off x="3362746" y="248907"/>
          <a:ext cx="1824534" cy="507084"/>
          <a:chOff x="2991667" y="205623"/>
          <a:chExt cx="1668622" cy="480936"/>
        </a:xfrm>
      </xdr:grpSpPr>
      <xdr:sp macro="[0]!GoTo_Energ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7B3854B6-D398-ED31-43DE-5B925F5E7BB4}"/>
              </a:ext>
            </a:extLst>
          </xdr:cNvPr>
          <xdr:cNvSpPr/>
        </xdr:nvSpPr>
        <xdr:spPr>
          <a:xfrm>
            <a:off x="3004062" y="205623"/>
            <a:ext cx="1656227" cy="480936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Energy </a:t>
            </a:r>
          </a:p>
        </xdr:txBody>
      </xdr:sp>
      <xdr:sp macro="" textlink="">
        <xdr:nvSpPr>
          <xdr:cNvPr id="37" name="Rectangle: Rounded Corners 36">
            <a:extLst>
              <a:ext uri="{FF2B5EF4-FFF2-40B4-BE49-F238E27FC236}">
                <a16:creationId xmlns:a16="http://schemas.microsoft.com/office/drawing/2014/main" id="{B9F29C3D-533D-D1A6-9257-49E7DD94D9A9}"/>
              </a:ext>
            </a:extLst>
          </xdr:cNvPr>
          <xdr:cNvSpPr/>
        </xdr:nvSpPr>
        <xdr:spPr>
          <a:xfrm>
            <a:off x="2991667" y="297491"/>
            <a:ext cx="326065" cy="31130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1 </a:t>
            </a:r>
          </a:p>
        </xdr:txBody>
      </xdr:sp>
    </xdr:grpSp>
    <xdr:clientData/>
  </xdr:twoCellAnchor>
  <xdr:twoCellAnchor>
    <xdr:from>
      <xdr:col>15</xdr:col>
      <xdr:colOff>29170</xdr:colOff>
      <xdr:row>1</xdr:row>
      <xdr:rowOff>47597</xdr:rowOff>
    </xdr:from>
    <xdr:to>
      <xdr:col>18</xdr:col>
      <xdr:colOff>173302</xdr:colOff>
      <xdr:row>4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2FA49823-E3BA-9640-B11F-EFE8FA970B93}"/>
            </a:ext>
          </a:extLst>
        </xdr:cNvPr>
        <xdr:cNvGrpSpPr/>
      </xdr:nvGrpSpPr>
      <xdr:grpSpPr>
        <a:xfrm>
          <a:off x="10556059" y="245153"/>
          <a:ext cx="1837465" cy="545069"/>
          <a:chOff x="9466684" y="201813"/>
          <a:chExt cx="1655445" cy="504592"/>
        </a:xfrm>
      </xdr:grpSpPr>
      <xdr:sp macro="[0]!GoTo_Forestry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C7273A9A-9F5B-9025-4E57-6FDC7491FBCD}"/>
              </a:ext>
            </a:extLst>
          </xdr:cNvPr>
          <xdr:cNvSpPr/>
        </xdr:nvSpPr>
        <xdr:spPr>
          <a:xfrm>
            <a:off x="9468234" y="201813"/>
            <a:ext cx="1653895" cy="50459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Forestry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     Conservation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BEC63A27-A75E-FF84-2A9B-73464B589AE8}"/>
              </a:ext>
            </a:extLst>
          </xdr:cNvPr>
          <xdr:cNvSpPr/>
        </xdr:nvSpPr>
        <xdr:spPr>
          <a:xfrm>
            <a:off x="9466684" y="301302"/>
            <a:ext cx="322255" cy="30749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4 </a:t>
            </a:r>
          </a:p>
        </xdr:txBody>
      </xdr:sp>
    </xdr:grpSp>
    <xdr:clientData/>
  </xdr:twoCellAnchor>
  <xdr:twoCellAnchor>
    <xdr:from>
      <xdr:col>1</xdr:col>
      <xdr:colOff>594360</xdr:colOff>
      <xdr:row>1</xdr:row>
      <xdr:rowOff>46971</xdr:rowOff>
    </xdr:from>
    <xdr:to>
      <xdr:col>4</xdr:col>
      <xdr:colOff>374073</xdr:colOff>
      <xdr:row>3</xdr:row>
      <xdr:rowOff>167431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F21E8BC2-53E2-1129-5E91-E0D173675663}"/>
            </a:ext>
          </a:extLst>
        </xdr:cNvPr>
        <xdr:cNvGrpSpPr/>
      </xdr:nvGrpSpPr>
      <xdr:grpSpPr>
        <a:xfrm>
          <a:off x="1271693" y="244527"/>
          <a:ext cx="1614158" cy="515571"/>
          <a:chOff x="1127449" y="203122"/>
          <a:chExt cx="1430556" cy="493437"/>
        </a:xfrm>
      </xdr:grpSpPr>
      <xdr:sp macro="[0]!GoTo_Start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1AD3C32F-7371-592E-2D17-945AF7535B35}"/>
              </a:ext>
            </a:extLst>
          </xdr:cNvPr>
          <xdr:cNvSpPr/>
        </xdr:nvSpPr>
        <xdr:spPr>
          <a:xfrm>
            <a:off x="1138408" y="203122"/>
            <a:ext cx="1419597" cy="493437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Start</a:t>
            </a:r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591FADBC-2B2C-07E4-FC36-32BF31A042D2}"/>
              </a:ext>
            </a:extLst>
          </xdr:cNvPr>
          <xdr:cNvSpPr/>
        </xdr:nvSpPr>
        <xdr:spPr>
          <a:xfrm>
            <a:off x="1127449" y="287694"/>
            <a:ext cx="324925" cy="313820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0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255271</xdr:colOff>
      <xdr:row>6</xdr:row>
      <xdr:rowOff>76200</xdr:rowOff>
    </xdr:from>
    <xdr:to>
      <xdr:col>7</xdr:col>
      <xdr:colOff>706755</xdr:colOff>
      <xdr:row>8</xdr:row>
      <xdr:rowOff>40958</xdr:rowOff>
    </xdr:to>
    <xdr:sp macro="[0]!GoTo_4_2" textlink="">
      <xdr:nvSpPr>
        <xdr:cNvPr id="3" name="Rectangle 2">
          <a:extLst>
            <a:ext uri="{FF2B5EF4-FFF2-40B4-BE49-F238E27FC236}">
              <a16:creationId xmlns:a16="http://schemas.microsoft.com/office/drawing/2014/main" id="{E58A2AB1-25E0-4A6B-B8EA-EB99DB8A7E5D}"/>
            </a:ext>
          </a:extLst>
        </xdr:cNvPr>
        <xdr:cNvSpPr/>
      </xdr:nvSpPr>
      <xdr:spPr>
        <a:xfrm>
          <a:off x="3131821" y="1352550"/>
          <a:ext cx="1289684" cy="517208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Transformation factories</a:t>
          </a:r>
        </a:p>
      </xdr:txBody>
    </xdr:sp>
    <xdr:clientData/>
  </xdr:twoCellAnchor>
  <xdr:twoCellAnchor>
    <xdr:from>
      <xdr:col>2</xdr:col>
      <xdr:colOff>1905</xdr:colOff>
      <xdr:row>6</xdr:row>
      <xdr:rowOff>78107</xdr:rowOff>
    </xdr:from>
    <xdr:to>
      <xdr:col>4</xdr:col>
      <xdr:colOff>285750</xdr:colOff>
      <xdr:row>8</xdr:row>
      <xdr:rowOff>19051</xdr:rowOff>
    </xdr:to>
    <xdr:sp macro="[0]!GoTo_4_1" textlink="">
      <xdr:nvSpPr>
        <xdr:cNvPr id="4" name="Rectangle 3">
          <a:extLst>
            <a:ext uri="{FF2B5EF4-FFF2-40B4-BE49-F238E27FC236}">
              <a16:creationId xmlns:a16="http://schemas.microsoft.com/office/drawing/2014/main" id="{5875FE13-BD4F-4CDE-9F04-45CA87B3992F}"/>
            </a:ext>
          </a:extLst>
        </xdr:cNvPr>
        <xdr:cNvSpPr/>
      </xdr:nvSpPr>
      <xdr:spPr>
        <a:xfrm>
          <a:off x="1221105" y="1354457"/>
          <a:ext cx="1331595" cy="493394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Reduced Impact Logging</a:t>
          </a:r>
        </a:p>
      </xdr:txBody>
    </xdr:sp>
    <xdr:clientData/>
  </xdr:twoCellAnchor>
  <xdr:twoCellAnchor>
    <xdr:from>
      <xdr:col>7</xdr:col>
      <xdr:colOff>1390651</xdr:colOff>
      <xdr:row>6</xdr:row>
      <xdr:rowOff>83823</xdr:rowOff>
    </xdr:from>
    <xdr:to>
      <xdr:col>10</xdr:col>
      <xdr:colOff>133350</xdr:colOff>
      <xdr:row>8</xdr:row>
      <xdr:rowOff>34290</xdr:rowOff>
    </xdr:to>
    <xdr:sp macro="[0]!GoTo_4_3" textlink="">
      <xdr:nvSpPr>
        <xdr:cNvPr id="5" name="Rectangle 4">
          <a:extLst>
            <a:ext uri="{FF2B5EF4-FFF2-40B4-BE49-F238E27FC236}">
              <a16:creationId xmlns:a16="http://schemas.microsoft.com/office/drawing/2014/main" id="{16ACD047-14E2-4CF7-831E-A877DFDBE7EF}"/>
            </a:ext>
          </a:extLst>
        </xdr:cNvPr>
        <xdr:cNvSpPr/>
      </xdr:nvSpPr>
      <xdr:spPr>
        <a:xfrm>
          <a:off x="5105401" y="1360173"/>
          <a:ext cx="1352549" cy="502917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Forest</a:t>
          </a:r>
          <a:r>
            <a:rPr lang="fr-FR" sz="1200" baseline="0"/>
            <a:t> </a:t>
          </a:r>
          <a:r>
            <a:rPr lang="fr-FR" sz="1200"/>
            <a:t>Conservation</a:t>
          </a:r>
        </a:p>
      </xdr:txBody>
    </xdr:sp>
    <xdr:clientData/>
  </xdr:twoCellAnchor>
  <xdr:twoCellAnchor editAs="oneCell">
    <xdr:from>
      <xdr:col>12</xdr:col>
      <xdr:colOff>57150</xdr:colOff>
      <xdr:row>5</xdr:row>
      <xdr:rowOff>167641</xdr:rowOff>
    </xdr:from>
    <xdr:to>
      <xdr:col>12</xdr:col>
      <xdr:colOff>769409</xdr:colOff>
      <xdr:row>8</xdr:row>
      <xdr:rowOff>51119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E158CD8-C08A-4975-B5C2-D37FEB0EFB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072516"/>
          <a:ext cx="712259" cy="807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260139</xdr:colOff>
      <xdr:row>5</xdr:row>
      <xdr:rowOff>142875</xdr:rowOff>
    </xdr:from>
    <xdr:to>
      <xdr:col>15</xdr:col>
      <xdr:colOff>808989</xdr:colOff>
      <xdr:row>8</xdr:row>
      <xdr:rowOff>54161</xdr:rowOff>
    </xdr:to>
    <xdr:pic>
      <xdr:nvPicPr>
        <xdr:cNvPr id="21" name="Picture 20" descr="UNEP Logo Download png">
          <a:extLst>
            <a:ext uri="{FF2B5EF4-FFF2-40B4-BE49-F238E27FC236}">
              <a16:creationId xmlns:a16="http://schemas.microsoft.com/office/drawing/2014/main" id="{148EEF62-9CFD-48C2-9F73-44EAC1D199E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8" t="1703" r="1851" b="2296"/>
        <a:stretch/>
      </xdr:blipFill>
      <xdr:spPr bwMode="auto">
        <a:xfrm>
          <a:off x="9394614" y="1047750"/>
          <a:ext cx="815550" cy="8352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173778</xdr:colOff>
      <xdr:row>5</xdr:row>
      <xdr:rowOff>160732</xdr:rowOff>
    </xdr:from>
    <xdr:to>
      <xdr:col>14</xdr:col>
      <xdr:colOff>79374</xdr:colOff>
      <xdr:row>8</xdr:row>
      <xdr:rowOff>57845</xdr:rowOff>
    </xdr:to>
    <xdr:pic>
      <xdr:nvPicPr>
        <xdr:cNvPr id="22" name="Picture 21" descr="A blue square with white letters and a logo&#10;&#10;Description automatically generated">
          <a:extLst>
            <a:ext uri="{FF2B5EF4-FFF2-40B4-BE49-F238E27FC236}">
              <a16:creationId xmlns:a16="http://schemas.microsoft.com/office/drawing/2014/main" id="{01F9A07E-3A83-476A-AC76-276ED6DDF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2903" y="1065607"/>
          <a:ext cx="800946" cy="821038"/>
        </a:xfrm>
        <a:prstGeom prst="rect">
          <a:avLst/>
        </a:prstGeom>
      </xdr:spPr>
    </xdr:pic>
    <xdr:clientData/>
  </xdr:twoCellAnchor>
  <xdr:twoCellAnchor>
    <xdr:from>
      <xdr:col>18</xdr:col>
      <xdr:colOff>337659</xdr:colOff>
      <xdr:row>1</xdr:row>
      <xdr:rowOff>70010</xdr:rowOff>
    </xdr:from>
    <xdr:to>
      <xdr:col>20</xdr:col>
      <xdr:colOff>147696</xdr:colOff>
      <xdr:row>3</xdr:row>
      <xdr:rowOff>175259</xdr:rowOff>
    </xdr:to>
    <xdr:sp macro="[0]!GoTo_Results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F4EEC655-E14D-EF9C-34AA-E2CB27701B6F}"/>
            </a:ext>
          </a:extLst>
        </xdr:cNvPr>
        <xdr:cNvSpPr/>
      </xdr:nvSpPr>
      <xdr:spPr>
        <a:xfrm>
          <a:off x="11699079" y="252890"/>
          <a:ext cx="1646457" cy="471009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1">
              <a:solidFill>
                <a:schemeClr val="bg1">
                  <a:lumMod val="95000"/>
                </a:schemeClr>
              </a:solidFill>
            </a:rPr>
            <a:t>Results </a:t>
          </a:r>
        </a:p>
      </xdr:txBody>
    </xdr:sp>
    <xdr:clientData/>
  </xdr:twoCellAnchor>
  <xdr:twoCellAnchor>
    <xdr:from>
      <xdr:col>7</xdr:col>
      <xdr:colOff>1480559</xdr:colOff>
      <xdr:row>1</xdr:row>
      <xdr:rowOff>38100</xdr:rowOff>
    </xdr:from>
    <xdr:to>
      <xdr:col>10</xdr:col>
      <xdr:colOff>618156</xdr:colOff>
      <xdr:row>3</xdr:row>
      <xdr:rowOff>159909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D924AAED-3A7B-5B88-DE66-C2E789157E91}"/>
            </a:ext>
          </a:extLst>
        </xdr:cNvPr>
        <xdr:cNvGrpSpPr/>
      </xdr:nvGrpSpPr>
      <xdr:grpSpPr>
        <a:xfrm>
          <a:off x="5601003" y="235656"/>
          <a:ext cx="2044486" cy="516920"/>
          <a:chOff x="5148098" y="199908"/>
          <a:chExt cx="1759587" cy="490918"/>
        </a:xfrm>
      </xdr:grpSpPr>
      <xdr:sp macro="[0]!GoTo_AR" textlink="">
        <xdr:nvSpPr>
          <xdr:cNvPr id="37" name="Rectangle: Rounded Corners 36">
            <a:extLst>
              <a:ext uri="{FF2B5EF4-FFF2-40B4-BE49-F238E27FC236}">
                <a16:creationId xmlns:a16="http://schemas.microsoft.com/office/drawing/2014/main" id="{F2BD2757-43CC-3A48-A383-ACD1D21D0D54}"/>
              </a:ext>
            </a:extLst>
          </xdr:cNvPr>
          <xdr:cNvSpPr/>
        </xdr:nvSpPr>
        <xdr:spPr>
          <a:xfrm>
            <a:off x="5156011" y="199908"/>
            <a:ext cx="1751674" cy="490918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Afforestation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Reforestation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38" name="Rectangle: Rounded Corners 37">
            <a:extLst>
              <a:ext uri="{FF2B5EF4-FFF2-40B4-BE49-F238E27FC236}">
                <a16:creationId xmlns:a16="http://schemas.microsoft.com/office/drawing/2014/main" id="{DDF518F0-5E2A-BE65-7814-56AE5A6F8257}"/>
              </a:ext>
            </a:extLst>
          </xdr:cNvPr>
          <xdr:cNvSpPr/>
        </xdr:nvSpPr>
        <xdr:spPr>
          <a:xfrm>
            <a:off x="5148098" y="282487"/>
            <a:ext cx="323460" cy="310406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2 </a:t>
            </a:r>
          </a:p>
        </xdr:txBody>
      </xdr:sp>
    </xdr:grpSp>
    <xdr:clientData/>
  </xdr:twoCellAnchor>
  <xdr:twoCellAnchor>
    <xdr:from>
      <xdr:col>11</xdr:col>
      <xdr:colOff>177575</xdr:colOff>
      <xdr:row>1</xdr:row>
      <xdr:rowOff>42480</xdr:rowOff>
    </xdr:from>
    <xdr:to>
      <xdr:col>13</xdr:col>
      <xdr:colOff>771406</xdr:colOff>
      <xdr:row>3</xdr:row>
      <xdr:rowOff>171506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DAF3C04B-9620-C4AD-9BA6-2DDFEAFB55C4}"/>
            </a:ext>
          </a:extLst>
        </xdr:cNvPr>
        <xdr:cNvGrpSpPr/>
      </xdr:nvGrpSpPr>
      <xdr:grpSpPr>
        <a:xfrm>
          <a:off x="8164464" y="240036"/>
          <a:ext cx="1750942" cy="524137"/>
          <a:chOff x="7344605" y="204353"/>
          <a:chExt cx="1626913" cy="498242"/>
        </a:xfrm>
      </xdr:grpSpPr>
      <xdr:sp macro="[0]!GoTo_Agriculture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23A8DE6A-14AE-1968-3B23-A89A58D09CC7}"/>
              </a:ext>
            </a:extLst>
          </xdr:cNvPr>
          <xdr:cNvSpPr/>
        </xdr:nvSpPr>
        <xdr:spPr>
          <a:xfrm>
            <a:off x="7344605" y="204353"/>
            <a:ext cx="1626913" cy="49824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Agriculture</a:t>
            </a:r>
          </a:p>
        </xdr:txBody>
      </xdr:sp>
      <xdr:sp macro="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1FBF5DE3-32FC-56D2-687F-4B5E9C053618}"/>
              </a:ext>
            </a:extLst>
          </xdr:cNvPr>
          <xdr:cNvSpPr/>
        </xdr:nvSpPr>
        <xdr:spPr>
          <a:xfrm>
            <a:off x="7347857" y="289676"/>
            <a:ext cx="326065" cy="31511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3 </a:t>
            </a:r>
          </a:p>
        </xdr:txBody>
      </xdr:sp>
    </xdr:grpSp>
    <xdr:clientData/>
  </xdr:twoCellAnchor>
  <xdr:twoCellAnchor>
    <xdr:from>
      <xdr:col>5</xdr:col>
      <xdr:colOff>166015</xdr:colOff>
      <xdr:row>1</xdr:row>
      <xdr:rowOff>43731</xdr:rowOff>
    </xdr:from>
    <xdr:to>
      <xdr:col>7</xdr:col>
      <xdr:colOff>993740</xdr:colOff>
      <xdr:row>3</xdr:row>
      <xdr:rowOff>155704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D9AB028-FE7A-8C42-7902-DEFC07354E70}"/>
            </a:ext>
          </a:extLst>
        </xdr:cNvPr>
        <xdr:cNvGrpSpPr/>
      </xdr:nvGrpSpPr>
      <xdr:grpSpPr>
        <a:xfrm>
          <a:off x="3355126" y="241287"/>
          <a:ext cx="1759058" cy="507084"/>
          <a:chOff x="2991667" y="205623"/>
          <a:chExt cx="1668622" cy="480936"/>
        </a:xfrm>
      </xdr:grpSpPr>
      <xdr:sp macro="[0]!GoTo_Energ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FF1B4AA3-09EE-C7B3-948B-F8074354E38F}"/>
              </a:ext>
            </a:extLst>
          </xdr:cNvPr>
          <xdr:cNvSpPr/>
        </xdr:nvSpPr>
        <xdr:spPr>
          <a:xfrm>
            <a:off x="3004062" y="205623"/>
            <a:ext cx="1656227" cy="480936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Energy </a:t>
            </a:r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80B44342-5E45-8AE7-8942-E8C4F720157B}"/>
              </a:ext>
            </a:extLst>
          </xdr:cNvPr>
          <xdr:cNvSpPr/>
        </xdr:nvSpPr>
        <xdr:spPr>
          <a:xfrm>
            <a:off x="2991667" y="297491"/>
            <a:ext cx="326065" cy="31130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1 </a:t>
            </a:r>
          </a:p>
        </xdr:txBody>
      </xdr:sp>
    </xdr:grpSp>
    <xdr:clientData/>
  </xdr:twoCellAnchor>
  <xdr:twoCellAnchor>
    <xdr:from>
      <xdr:col>15</xdr:col>
      <xdr:colOff>97750</xdr:colOff>
      <xdr:row>1</xdr:row>
      <xdr:rowOff>39977</xdr:rowOff>
    </xdr:from>
    <xdr:to>
      <xdr:col>17</xdr:col>
      <xdr:colOff>81862</xdr:colOff>
      <xdr:row>3</xdr:row>
      <xdr:rowOff>175260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2C4A9214-4ADD-8B7A-E85B-B0195B702BBE}"/>
            </a:ext>
          </a:extLst>
        </xdr:cNvPr>
        <xdr:cNvGrpSpPr/>
      </xdr:nvGrpSpPr>
      <xdr:grpSpPr>
        <a:xfrm>
          <a:off x="10539972" y="237533"/>
          <a:ext cx="1860890" cy="530394"/>
          <a:chOff x="9466684" y="201813"/>
          <a:chExt cx="1655445" cy="504592"/>
        </a:xfrm>
      </xdr:grpSpPr>
      <xdr:sp macro="[0]!GoTo_Forestry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D8E272CD-C9E8-F9EF-111E-55AFB0903938}"/>
              </a:ext>
            </a:extLst>
          </xdr:cNvPr>
          <xdr:cNvSpPr/>
        </xdr:nvSpPr>
        <xdr:spPr>
          <a:xfrm>
            <a:off x="9468234" y="201813"/>
            <a:ext cx="1653895" cy="504592"/>
          </a:xfrm>
          <a:prstGeom prst="roundRect">
            <a:avLst/>
          </a:prstGeom>
          <a:solidFill>
            <a:schemeClr val="accent3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Forestry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     Conservation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C82CC8F-67BD-A850-2079-ABD63FE8857F}"/>
              </a:ext>
            </a:extLst>
          </xdr:cNvPr>
          <xdr:cNvSpPr/>
        </xdr:nvSpPr>
        <xdr:spPr>
          <a:xfrm>
            <a:off x="9466684" y="301302"/>
            <a:ext cx="322255" cy="307493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4 </a:t>
            </a:r>
          </a:p>
        </xdr:txBody>
      </xdr:sp>
    </xdr:grpSp>
    <xdr:clientData/>
  </xdr:twoCellAnchor>
  <xdr:twoCellAnchor>
    <xdr:from>
      <xdr:col>1</xdr:col>
      <xdr:colOff>586740</xdr:colOff>
      <xdr:row>1</xdr:row>
      <xdr:rowOff>39351</xdr:rowOff>
    </xdr:from>
    <xdr:to>
      <xdr:col>4</xdr:col>
      <xdr:colOff>366453</xdr:colOff>
      <xdr:row>3</xdr:row>
      <xdr:rowOff>159811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B6953D93-465A-7E83-E484-B80904D2E479}"/>
            </a:ext>
          </a:extLst>
        </xdr:cNvPr>
        <xdr:cNvGrpSpPr/>
      </xdr:nvGrpSpPr>
      <xdr:grpSpPr>
        <a:xfrm>
          <a:off x="1264073" y="236907"/>
          <a:ext cx="1614158" cy="515571"/>
          <a:chOff x="1127449" y="203122"/>
          <a:chExt cx="1430556" cy="493437"/>
        </a:xfrm>
        <a:solidFill>
          <a:srgbClr val="00B050"/>
        </a:solidFill>
      </xdr:grpSpPr>
      <xdr:sp macro="[0]!GoTo_Start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E5C12577-E764-A533-2030-6AED21AA3604}"/>
              </a:ext>
            </a:extLst>
          </xdr:cNvPr>
          <xdr:cNvSpPr/>
        </xdr:nvSpPr>
        <xdr:spPr>
          <a:xfrm>
            <a:off x="1138408" y="203122"/>
            <a:ext cx="1419597" cy="493437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Start</a:t>
            </a:r>
          </a:p>
        </xdr:txBody>
      </xdr:sp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1D2A4DBF-BB68-93A0-1D05-36AF1E4DDAC8}"/>
              </a:ext>
            </a:extLst>
          </xdr:cNvPr>
          <xdr:cNvSpPr/>
        </xdr:nvSpPr>
        <xdr:spPr>
          <a:xfrm>
            <a:off x="1127449" y="287694"/>
            <a:ext cx="324925" cy="313820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0 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</xdr:colOff>
      <xdr:row>5</xdr:row>
      <xdr:rowOff>167640</xdr:rowOff>
    </xdr:from>
    <xdr:to>
      <xdr:col>8</xdr:col>
      <xdr:colOff>594360</xdr:colOff>
      <xdr:row>46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84D03C2-994C-4AE1-8510-F2FBDF9D76F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20" y="1120140"/>
              <a:ext cx="5933440" cy="753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18</xdr:col>
      <xdr:colOff>327502</xdr:colOff>
      <xdr:row>1</xdr:row>
      <xdr:rowOff>24290</xdr:rowOff>
    </xdr:from>
    <xdr:to>
      <xdr:col>21</xdr:col>
      <xdr:colOff>145159</xdr:colOff>
      <xdr:row>3</xdr:row>
      <xdr:rowOff>129539</xdr:rowOff>
    </xdr:to>
    <xdr:sp macro="[0]!GoTo_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B2A33A5-52C1-C41B-9A0A-830F65F75607}"/>
            </a:ext>
          </a:extLst>
        </xdr:cNvPr>
        <xdr:cNvSpPr/>
      </xdr:nvSpPr>
      <xdr:spPr>
        <a:xfrm>
          <a:off x="11571235" y="210557"/>
          <a:ext cx="1646457" cy="477782"/>
        </a:xfrm>
        <a:prstGeom prst="roundRect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1">
              <a:solidFill>
                <a:schemeClr val="bg1">
                  <a:lumMod val="95000"/>
                </a:schemeClr>
              </a:solidFill>
            </a:rPr>
            <a:t>Results </a:t>
          </a:r>
        </a:p>
      </xdr:txBody>
    </xdr:sp>
    <xdr:clientData/>
  </xdr:twoCellAnchor>
  <xdr:twoCellAnchor>
    <xdr:from>
      <xdr:col>8</xdr:col>
      <xdr:colOff>182622</xdr:colOff>
      <xdr:row>0</xdr:row>
      <xdr:rowOff>175260</xdr:rowOff>
    </xdr:from>
    <xdr:to>
      <xdr:col>11</xdr:col>
      <xdr:colOff>105079</xdr:colOff>
      <xdr:row>3</xdr:row>
      <xdr:rowOff>114189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DEBF904-36DA-B18C-333F-56AFA83A6517}"/>
            </a:ext>
          </a:extLst>
        </xdr:cNvPr>
        <xdr:cNvGrpSpPr/>
      </xdr:nvGrpSpPr>
      <xdr:grpSpPr>
        <a:xfrm>
          <a:off x="5601289" y="175260"/>
          <a:ext cx="1954457" cy="531596"/>
          <a:chOff x="5148098" y="199908"/>
          <a:chExt cx="1759587" cy="490918"/>
        </a:xfrm>
      </xdr:grpSpPr>
      <xdr:sp macro="[0]!GoTo_AR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CB6E10C7-4373-48A7-6F5C-938A68A798F5}"/>
              </a:ext>
            </a:extLst>
          </xdr:cNvPr>
          <xdr:cNvSpPr/>
        </xdr:nvSpPr>
        <xdr:spPr>
          <a:xfrm>
            <a:off x="5156011" y="199908"/>
            <a:ext cx="1751674" cy="490918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Afforestation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Reforestation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52CB8804-F9FA-2FE2-9A7D-3ACB5DC91E1D}"/>
              </a:ext>
            </a:extLst>
          </xdr:cNvPr>
          <xdr:cNvSpPr/>
        </xdr:nvSpPr>
        <xdr:spPr>
          <a:xfrm>
            <a:off x="5148098" y="282487"/>
            <a:ext cx="323460" cy="310406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2 </a:t>
            </a:r>
          </a:p>
        </xdr:txBody>
      </xdr:sp>
    </xdr:grpSp>
    <xdr:clientData/>
  </xdr:twoCellAnchor>
  <xdr:twoCellAnchor>
    <xdr:from>
      <xdr:col>11</xdr:col>
      <xdr:colOff>540798</xdr:colOff>
      <xdr:row>0</xdr:row>
      <xdr:rowOff>179640</xdr:rowOff>
    </xdr:from>
    <xdr:to>
      <xdr:col>14</xdr:col>
      <xdr:colOff>83069</xdr:colOff>
      <xdr:row>3</xdr:row>
      <xdr:rowOff>125786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3EBD09C-FBEF-96B7-5E28-1F2A074DD176}"/>
            </a:ext>
          </a:extLst>
        </xdr:cNvPr>
        <xdr:cNvGrpSpPr/>
      </xdr:nvGrpSpPr>
      <xdr:grpSpPr>
        <a:xfrm>
          <a:off x="7991465" y="179640"/>
          <a:ext cx="1856493" cy="538813"/>
          <a:chOff x="7344605" y="204353"/>
          <a:chExt cx="1626913" cy="498242"/>
        </a:xfrm>
      </xdr:grpSpPr>
      <xdr:sp macro="[0]!GoTo_Agriculture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7D0EA280-EDA7-D1F5-5F11-51F840BED994}"/>
              </a:ext>
            </a:extLst>
          </xdr:cNvPr>
          <xdr:cNvSpPr/>
        </xdr:nvSpPr>
        <xdr:spPr>
          <a:xfrm>
            <a:off x="7344605" y="204353"/>
            <a:ext cx="1626913" cy="49824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Agriculture</a:t>
            </a:r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2B30A6F6-6B75-96DC-2745-09BFD8262347}"/>
              </a:ext>
            </a:extLst>
          </xdr:cNvPr>
          <xdr:cNvSpPr/>
        </xdr:nvSpPr>
        <xdr:spPr>
          <a:xfrm>
            <a:off x="7347857" y="289676"/>
            <a:ext cx="326065" cy="31511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3 </a:t>
            </a:r>
          </a:p>
        </xdr:txBody>
      </xdr:sp>
    </xdr:grpSp>
    <xdr:clientData/>
  </xdr:twoCellAnchor>
  <xdr:twoCellAnchor>
    <xdr:from>
      <xdr:col>4</xdr:col>
      <xdr:colOff>468278</xdr:colOff>
      <xdr:row>0</xdr:row>
      <xdr:rowOff>180891</xdr:rowOff>
    </xdr:from>
    <xdr:to>
      <xdr:col>7</xdr:col>
      <xdr:colOff>305403</xdr:colOff>
      <xdr:row>3</xdr:row>
      <xdr:rowOff>109984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25573D9-5AFF-3336-205B-09F7655F2479}"/>
            </a:ext>
          </a:extLst>
        </xdr:cNvPr>
        <xdr:cNvGrpSpPr/>
      </xdr:nvGrpSpPr>
      <xdr:grpSpPr>
        <a:xfrm>
          <a:off x="3177611" y="180891"/>
          <a:ext cx="1869125" cy="521760"/>
          <a:chOff x="2991667" y="205623"/>
          <a:chExt cx="1668622" cy="480936"/>
        </a:xfrm>
      </xdr:grpSpPr>
      <xdr:sp macro="[0]!GoTo_Energy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E668B61D-F215-E788-8344-12960A042FBD}"/>
              </a:ext>
            </a:extLst>
          </xdr:cNvPr>
          <xdr:cNvSpPr/>
        </xdr:nvSpPr>
        <xdr:spPr>
          <a:xfrm>
            <a:off x="3004062" y="205623"/>
            <a:ext cx="1656227" cy="480936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Energy </a:t>
            </a:r>
          </a:p>
        </xdr:txBody>
      </xdr:sp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57E32AF3-6024-A318-3AD8-B4A3CC2F3531}"/>
              </a:ext>
            </a:extLst>
          </xdr:cNvPr>
          <xdr:cNvSpPr/>
        </xdr:nvSpPr>
        <xdr:spPr>
          <a:xfrm>
            <a:off x="2991667" y="297491"/>
            <a:ext cx="326065" cy="31130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1 </a:t>
            </a:r>
          </a:p>
        </xdr:txBody>
      </xdr:sp>
    </xdr:grpSp>
    <xdr:clientData/>
  </xdr:twoCellAnchor>
  <xdr:twoCellAnchor>
    <xdr:from>
      <xdr:col>14</xdr:col>
      <xdr:colOff>575273</xdr:colOff>
      <xdr:row>0</xdr:row>
      <xdr:rowOff>177137</xdr:rowOff>
    </xdr:from>
    <xdr:to>
      <xdr:col>17</xdr:col>
      <xdr:colOff>406985</xdr:colOff>
      <xdr:row>3</xdr:row>
      <xdr:rowOff>129540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A191308A-C9B2-C502-CA32-75989FA3D408}"/>
            </a:ext>
          </a:extLst>
        </xdr:cNvPr>
        <xdr:cNvGrpSpPr/>
      </xdr:nvGrpSpPr>
      <xdr:grpSpPr>
        <a:xfrm>
          <a:off x="10340162" y="177137"/>
          <a:ext cx="1863712" cy="545070"/>
          <a:chOff x="9466684" y="201813"/>
          <a:chExt cx="1655445" cy="504592"/>
        </a:xfrm>
      </xdr:grpSpPr>
      <xdr:sp macro="[0]!GoTo_Forestry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8F6DBCF7-81F5-C4E8-FC9A-980528ACA306}"/>
              </a:ext>
            </a:extLst>
          </xdr:cNvPr>
          <xdr:cNvSpPr/>
        </xdr:nvSpPr>
        <xdr:spPr>
          <a:xfrm>
            <a:off x="9468234" y="201813"/>
            <a:ext cx="1653895" cy="50459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Forestry</a:t>
            </a:r>
            <a:r>
              <a:rPr lang="fr-FR" sz="1050" b="1" baseline="0">
                <a:solidFill>
                  <a:schemeClr val="bg1">
                    <a:lumMod val="95000"/>
                  </a:schemeClr>
                </a:solidFill>
              </a:rPr>
              <a:t> &amp;      Conservation</a:t>
            </a:r>
            <a:endParaRPr lang="fr-FR" sz="1050" b="1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24693069-B35E-9F25-1F20-F28CB1BAD6B1}"/>
              </a:ext>
            </a:extLst>
          </xdr:cNvPr>
          <xdr:cNvSpPr/>
        </xdr:nvSpPr>
        <xdr:spPr>
          <a:xfrm>
            <a:off x="9466684" y="301302"/>
            <a:ext cx="322255" cy="30749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4 </a:t>
            </a:r>
          </a:p>
        </xdr:txBody>
      </xdr:sp>
    </xdr:grpSp>
    <xdr:clientData/>
  </xdr:twoCellAnchor>
  <xdr:twoCellAnchor>
    <xdr:from>
      <xdr:col>1</xdr:col>
      <xdr:colOff>454663</xdr:colOff>
      <xdr:row>0</xdr:row>
      <xdr:rowOff>176511</xdr:rowOff>
    </xdr:from>
    <xdr:to>
      <xdr:col>4</xdr:col>
      <xdr:colOff>59116</xdr:colOff>
      <xdr:row>3</xdr:row>
      <xdr:rowOff>114091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CF8340FE-6439-CD68-5E9F-2EE74B282686}"/>
            </a:ext>
          </a:extLst>
        </xdr:cNvPr>
        <xdr:cNvGrpSpPr/>
      </xdr:nvGrpSpPr>
      <xdr:grpSpPr>
        <a:xfrm>
          <a:off x="1131996" y="176511"/>
          <a:ext cx="1636453" cy="530247"/>
          <a:chOff x="1127449" y="203122"/>
          <a:chExt cx="1430556" cy="493437"/>
        </a:xfrm>
      </xdr:grpSpPr>
      <xdr:sp macro="[0]!GoTo_Start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2CEE712B-4267-391A-73C3-8A1D3CA0CB72}"/>
              </a:ext>
            </a:extLst>
          </xdr:cNvPr>
          <xdr:cNvSpPr/>
        </xdr:nvSpPr>
        <xdr:spPr>
          <a:xfrm>
            <a:off x="1138408" y="203122"/>
            <a:ext cx="1419597" cy="493437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Start</a:t>
            </a:r>
          </a:p>
        </xdr:txBody>
      </xdr:sp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210011ED-79AA-2DE2-E936-5B2A4852334B}"/>
              </a:ext>
            </a:extLst>
          </xdr:cNvPr>
          <xdr:cNvSpPr/>
        </xdr:nvSpPr>
        <xdr:spPr>
          <a:xfrm>
            <a:off x="1127449" y="287694"/>
            <a:ext cx="324925" cy="313820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chemeClr val="bg1">
                    <a:lumMod val="95000"/>
                  </a:schemeClr>
                </a:solidFill>
              </a:rPr>
              <a:t>0 </a:t>
            </a:r>
          </a:p>
        </xdr:txBody>
      </xdr:sp>
    </xdr:grpSp>
    <xdr:clientData/>
  </xdr:twoCellAnchor>
  <xdr:twoCellAnchor>
    <xdr:from>
      <xdr:col>18</xdr:col>
      <xdr:colOff>0</xdr:colOff>
      <xdr:row>5</xdr:row>
      <xdr:rowOff>177800</xdr:rowOff>
    </xdr:from>
    <xdr:to>
      <xdr:col>26</xdr:col>
      <xdr:colOff>601134</xdr:colOff>
      <xdr:row>45</xdr:row>
      <xdr:rowOff>187112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2520AC93-FD4F-466E-AB10-343D658001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07900" y="1130300"/>
              <a:ext cx="5985934" cy="74896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62</xdr:row>
      <xdr:rowOff>144780</xdr:rowOff>
    </xdr:from>
    <xdr:to>
      <xdr:col>14</xdr:col>
      <xdr:colOff>480060</xdr:colOff>
      <xdr:row>97</xdr:row>
      <xdr:rowOff>160020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4868997-6A96-FEE2-69BE-054B6807A8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13200" y="13454380"/>
              <a:ext cx="6982460" cy="66827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0B3A7-40FC-45B3-8F32-0889FF2E104A}">
  <sheetPr>
    <tabColor theme="3" tint="0.249977111117893"/>
  </sheetPr>
  <dimension ref="A6:AB113"/>
  <sheetViews>
    <sheetView showGridLines="0" tabSelected="1" zoomScale="90" zoomScaleNormal="90" workbookViewId="0">
      <pane ySplit="9" topLeftCell="A17" activePane="bottomLeft" state="frozen"/>
      <selection pane="bottomLeft" activeCell="G17" sqref="G17:J17"/>
    </sheetView>
  </sheetViews>
  <sheetFormatPr baseColWidth="10" defaultColWidth="8.83203125" defaultRowHeight="15" x14ac:dyDescent="0.2"/>
  <cols>
    <col min="1" max="2" width="8.83203125" style="1"/>
    <col min="3" max="3" width="6.33203125" style="1" customWidth="1"/>
    <col min="4" max="4" width="7" style="1" customWidth="1"/>
    <col min="5" max="5" width="11" style="1" customWidth="1"/>
    <col min="6" max="7" width="8.83203125" style="1"/>
    <col min="8" max="8" width="8.83203125" style="1" customWidth="1"/>
    <col min="9" max="9" width="8.83203125" style="1"/>
    <col min="10" max="10" width="9" style="1" customWidth="1"/>
    <col min="11" max="12" width="8.83203125" style="1"/>
    <col min="13" max="13" width="6.6640625" style="1" customWidth="1"/>
    <col min="14" max="14" width="8.83203125" style="1"/>
    <col min="15" max="15" width="8" style="1" customWidth="1"/>
    <col min="16" max="16" width="10.5" style="1" customWidth="1"/>
    <col min="17" max="17" width="9.1640625" style="1" customWidth="1"/>
    <col min="18" max="18" width="14.5" style="1" customWidth="1"/>
    <col min="19" max="20" width="8.83203125" style="1"/>
    <col min="21" max="21" width="9" style="1" customWidth="1"/>
    <col min="22" max="22" width="8.6640625" style="1" customWidth="1"/>
    <col min="23" max="16384" width="8.83203125" style="1"/>
  </cols>
  <sheetData>
    <row r="6" spans="1:28" ht="29.5" customHeight="1" thickBot="1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ht="27" x14ac:dyDescent="0.2">
      <c r="B7"/>
      <c r="C7"/>
      <c r="D7"/>
      <c r="E7"/>
      <c r="F7"/>
      <c r="G7"/>
      <c r="H7" s="272" t="s">
        <v>7</v>
      </c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4"/>
      <c r="U7"/>
      <c r="V7"/>
      <c r="W7"/>
      <c r="X7"/>
      <c r="Y7"/>
      <c r="Z7"/>
      <c r="AA7"/>
      <c r="AB7"/>
    </row>
    <row r="8" spans="1:28" ht="29.5" customHeight="1" thickBot="1" x14ac:dyDescent="0.25">
      <c r="B8"/>
      <c r="C8"/>
      <c r="D8"/>
      <c r="E8"/>
      <c r="F8"/>
      <c r="G8"/>
      <c r="H8" s="275" t="s">
        <v>466</v>
      </c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7"/>
      <c r="U8"/>
      <c r="V8"/>
      <c r="W8"/>
      <c r="X8"/>
      <c r="Y8"/>
      <c r="Z8"/>
      <c r="AA8"/>
      <c r="AB8"/>
    </row>
    <row r="9" spans="1:28" ht="35" customHeight="1" x14ac:dyDescent="0.2">
      <c r="A9" s="11" t="s">
        <v>42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">
      <c r="A10" s="11"/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</row>
    <row r="11" spans="1:28" x14ac:dyDescent="0.2">
      <c r="A11" s="11"/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</row>
    <row r="12" spans="1:28" x14ac:dyDescent="0.2">
      <c r="A12" s="11"/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28" ht="30" customHeight="1" x14ac:dyDescent="0.2">
      <c r="B13" s="91"/>
      <c r="D13" s="4" t="s">
        <v>0</v>
      </c>
      <c r="Y13" s="91"/>
      <c r="Z13" s="91"/>
      <c r="AA13" s="91"/>
      <c r="AB13" s="91"/>
    </row>
    <row r="14" spans="1:28" ht="7.25" customHeight="1" x14ac:dyDescent="0.2">
      <c r="B14" s="91"/>
      <c r="C14" s="91"/>
      <c r="D14" s="92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</row>
    <row r="15" spans="1:28" ht="19.25" customHeight="1" thickBot="1" x14ac:dyDescent="0.25">
      <c r="B15" s="91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91"/>
      <c r="Z15" s="91"/>
      <c r="AA15" s="91"/>
      <c r="AB15" s="91"/>
    </row>
    <row r="16" spans="1:28" ht="26.5" customHeight="1" x14ac:dyDescent="0.2">
      <c r="B16" s="91"/>
      <c r="C16" s="2"/>
      <c r="D16" s="209" t="s">
        <v>3</v>
      </c>
      <c r="E16" s="210"/>
      <c r="F16" s="210"/>
      <c r="G16" s="278"/>
      <c r="H16" s="278"/>
      <c r="I16" s="278"/>
      <c r="J16" s="279"/>
      <c r="K16" s="3"/>
      <c r="L16" s="3"/>
      <c r="M16" s="3"/>
      <c r="N16" s="3"/>
      <c r="O16" s="3"/>
      <c r="P16" s="3"/>
      <c r="Q16" s="209" t="s">
        <v>8</v>
      </c>
      <c r="R16" s="210"/>
      <c r="S16" s="210"/>
      <c r="T16" s="210"/>
      <c r="U16" s="210"/>
      <c r="V16" s="210"/>
      <c r="W16" s="211"/>
      <c r="X16" s="3"/>
      <c r="Y16" s="91"/>
      <c r="Z16" s="91"/>
      <c r="AA16" s="91"/>
      <c r="AB16" s="91"/>
    </row>
    <row r="17" spans="2:28" ht="19.25" customHeight="1" x14ac:dyDescent="0.2">
      <c r="B17" s="91"/>
      <c r="C17" s="2"/>
      <c r="D17" s="280" t="s">
        <v>1</v>
      </c>
      <c r="E17" s="281"/>
      <c r="F17" s="282"/>
      <c r="G17" s="249" t="s">
        <v>461</v>
      </c>
      <c r="H17" s="249"/>
      <c r="I17" s="249"/>
      <c r="J17" s="250"/>
      <c r="K17" s="2"/>
      <c r="L17" s="2"/>
      <c r="M17" s="2"/>
      <c r="N17" s="3"/>
      <c r="O17" s="3"/>
      <c r="P17" s="3"/>
      <c r="Q17" s="280" t="s">
        <v>9</v>
      </c>
      <c r="R17" s="281"/>
      <c r="S17" s="282"/>
      <c r="T17" s="283" t="s">
        <v>26</v>
      </c>
      <c r="U17" s="283"/>
      <c r="V17" s="283"/>
      <c r="W17" s="284"/>
      <c r="X17" s="3"/>
      <c r="Y17" s="91"/>
      <c r="Z17" s="91"/>
      <c r="AA17" s="91"/>
      <c r="AB17" s="91"/>
    </row>
    <row r="18" spans="2:28" ht="19.25" customHeight="1" x14ac:dyDescent="0.2">
      <c r="B18" s="91"/>
      <c r="C18" s="2"/>
      <c r="D18" s="240" t="s">
        <v>2</v>
      </c>
      <c r="E18" s="241"/>
      <c r="F18" s="242"/>
      <c r="G18" s="285">
        <f ca="1">TODAY()</f>
        <v>46030</v>
      </c>
      <c r="H18" s="285"/>
      <c r="I18" s="285"/>
      <c r="J18" s="286"/>
      <c r="K18" s="2"/>
      <c r="L18" s="2"/>
      <c r="M18" s="2"/>
      <c r="N18" s="3"/>
      <c r="O18" s="3"/>
      <c r="P18" s="3"/>
      <c r="Q18" s="240" t="s">
        <v>10</v>
      </c>
      <c r="R18" s="241"/>
      <c r="S18" s="242"/>
      <c r="T18" s="287" t="s">
        <v>36</v>
      </c>
      <c r="U18" s="287"/>
      <c r="V18" s="287"/>
      <c r="W18" s="288"/>
      <c r="X18" s="3"/>
      <c r="Y18" s="91"/>
      <c r="Z18" s="91"/>
      <c r="AA18" s="91"/>
      <c r="AB18" s="91"/>
    </row>
    <row r="19" spans="2:28" ht="19.25" customHeight="1" x14ac:dyDescent="0.2">
      <c r="B19" s="91"/>
      <c r="C19" s="2"/>
      <c r="D19" s="240" t="s">
        <v>3</v>
      </c>
      <c r="E19" s="241"/>
      <c r="F19" s="242"/>
      <c r="G19" s="245" t="s">
        <v>456</v>
      </c>
      <c r="H19" s="246"/>
      <c r="I19" s="246"/>
      <c r="J19" s="247"/>
      <c r="K19" s="2"/>
      <c r="L19" s="2"/>
      <c r="M19" s="2"/>
      <c r="N19" s="3"/>
      <c r="O19" s="3"/>
      <c r="P19" s="3"/>
      <c r="Q19" s="240" t="s">
        <v>11</v>
      </c>
      <c r="R19" s="241"/>
      <c r="S19" s="242"/>
      <c r="T19" s="243" t="s">
        <v>40</v>
      </c>
      <c r="U19" s="243"/>
      <c r="V19" s="243"/>
      <c r="W19" s="244"/>
      <c r="X19" s="3"/>
      <c r="Y19" s="91"/>
      <c r="Z19" s="91"/>
      <c r="AA19" s="91"/>
      <c r="AB19" s="91"/>
    </row>
    <row r="20" spans="2:28" ht="19.25" customHeight="1" x14ac:dyDescent="0.2">
      <c r="B20" s="91"/>
      <c r="C20" s="2"/>
      <c r="D20" s="240"/>
      <c r="E20" s="241"/>
      <c r="F20" s="242"/>
      <c r="G20" s="248"/>
      <c r="H20" s="249"/>
      <c r="I20" s="249"/>
      <c r="J20" s="250"/>
      <c r="K20" s="2"/>
      <c r="L20" s="2"/>
      <c r="M20" s="2"/>
      <c r="N20" s="3"/>
      <c r="O20" s="3"/>
      <c r="P20" s="3"/>
      <c r="Q20" s="240" t="s">
        <v>12</v>
      </c>
      <c r="R20" s="241"/>
      <c r="S20" s="242"/>
      <c r="T20" s="251" t="s">
        <v>47</v>
      </c>
      <c r="U20" s="251"/>
      <c r="V20" s="251"/>
      <c r="W20" s="252"/>
      <c r="X20" s="3"/>
      <c r="Y20" s="91"/>
      <c r="Z20" s="91"/>
      <c r="AA20" s="91"/>
      <c r="AB20" s="91"/>
    </row>
    <row r="21" spans="2:28" ht="19.25" customHeight="1" x14ac:dyDescent="0.2">
      <c r="B21" s="91"/>
      <c r="C21" s="2"/>
      <c r="D21" s="240" t="s">
        <v>4</v>
      </c>
      <c r="E21" s="241"/>
      <c r="F21" s="242"/>
      <c r="G21" s="253">
        <v>30000000</v>
      </c>
      <c r="H21" s="253"/>
      <c r="I21" s="253"/>
      <c r="J21" s="254"/>
      <c r="K21" s="2"/>
      <c r="L21" s="2"/>
      <c r="M21" s="2"/>
      <c r="N21" s="3"/>
      <c r="O21" s="3"/>
      <c r="P21" s="3"/>
      <c r="Q21" s="255" t="s">
        <v>34</v>
      </c>
      <c r="R21" s="256"/>
      <c r="S21" s="256"/>
      <c r="T21" s="259" t="s">
        <v>13</v>
      </c>
      <c r="U21" s="259"/>
      <c r="V21" s="260"/>
      <c r="W21" s="87">
        <v>5</v>
      </c>
      <c r="X21" s="3"/>
      <c r="Y21" s="91"/>
      <c r="Z21" s="91"/>
      <c r="AA21" s="91"/>
      <c r="AB21" s="91"/>
    </row>
    <row r="22" spans="2:28" ht="19.25" customHeight="1" x14ac:dyDescent="0.2">
      <c r="B22" s="91"/>
      <c r="C22" s="2"/>
      <c r="D22" s="240" t="s">
        <v>5</v>
      </c>
      <c r="E22" s="241"/>
      <c r="F22" s="242"/>
      <c r="G22" s="261" t="s">
        <v>465</v>
      </c>
      <c r="H22" s="261"/>
      <c r="I22" s="261"/>
      <c r="J22" s="262"/>
      <c r="K22" s="2"/>
      <c r="L22" s="2"/>
      <c r="M22" s="2"/>
      <c r="N22" s="3"/>
      <c r="O22" s="3"/>
      <c r="P22" s="3"/>
      <c r="Q22" s="255"/>
      <c r="R22" s="256"/>
      <c r="S22" s="256"/>
      <c r="T22" s="263" t="s">
        <v>14</v>
      </c>
      <c r="U22" s="263"/>
      <c r="V22" s="264"/>
      <c r="W22" s="87">
        <v>10</v>
      </c>
      <c r="X22" s="3"/>
      <c r="Y22" s="91"/>
      <c r="Z22" s="91"/>
      <c r="AA22" s="91"/>
      <c r="AB22" s="91"/>
    </row>
    <row r="23" spans="2:28" ht="19.25" customHeight="1" thickBot="1" x14ac:dyDescent="0.25">
      <c r="B23" s="91"/>
      <c r="C23" s="2"/>
      <c r="D23" s="265" t="s">
        <v>6</v>
      </c>
      <c r="E23" s="266"/>
      <c r="F23" s="267"/>
      <c r="G23" s="268" t="s">
        <v>458</v>
      </c>
      <c r="H23" s="268"/>
      <c r="I23" s="268"/>
      <c r="J23" s="269"/>
      <c r="K23" s="2"/>
      <c r="L23" s="2"/>
      <c r="M23" s="2"/>
      <c r="N23" s="3"/>
      <c r="O23" s="3"/>
      <c r="P23" s="3"/>
      <c r="Q23" s="257"/>
      <c r="R23" s="258"/>
      <c r="S23" s="258"/>
      <c r="T23" s="270" t="s">
        <v>15</v>
      </c>
      <c r="U23" s="270"/>
      <c r="V23" s="271"/>
      <c r="W23" s="196">
        <f>IF(OR(W21="",W22=""),1,W21+W22)</f>
        <v>15</v>
      </c>
      <c r="X23" s="3"/>
      <c r="Y23" s="91"/>
      <c r="Z23" s="91"/>
      <c r="AA23" s="91"/>
      <c r="AB23" s="91"/>
    </row>
    <row r="24" spans="2:28" ht="19.25" customHeight="1" x14ac:dyDescent="0.2">
      <c r="B24" s="91"/>
      <c r="C24" s="2"/>
      <c r="D24" s="5"/>
      <c r="E24" s="6"/>
      <c r="F24" s="6"/>
      <c r="G24" s="226"/>
      <c r="H24" s="226"/>
      <c r="I24" s="226"/>
      <c r="J24" s="226"/>
      <c r="K24" s="2"/>
      <c r="L24" s="2"/>
      <c r="M24" s="2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91"/>
      <c r="Z24" s="91"/>
      <c r="AA24" s="91"/>
      <c r="AB24" s="91"/>
    </row>
    <row r="25" spans="2:28" x14ac:dyDescent="0.2"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</row>
    <row r="26" spans="2:28" x14ac:dyDescent="0.2"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</row>
    <row r="27" spans="2:28" ht="16" thickBot="1" x14ac:dyDescent="0.25"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</row>
    <row r="28" spans="2:28" ht="14.5" customHeight="1" x14ac:dyDescent="0.2">
      <c r="B28" s="91"/>
      <c r="C28" s="91"/>
      <c r="D28" s="91"/>
      <c r="E28" s="91"/>
      <c r="F28" s="91"/>
      <c r="G28" s="297" t="s">
        <v>455</v>
      </c>
      <c r="H28" s="298"/>
      <c r="I28" s="298"/>
      <c r="J28" s="298"/>
      <c r="K28" s="298"/>
      <c r="L28" s="298"/>
      <c r="M28" s="298"/>
      <c r="N28" s="299"/>
      <c r="O28" s="91"/>
      <c r="P28" s="233" t="s">
        <v>464</v>
      </c>
      <c r="Q28" s="234"/>
      <c r="R28" s="234"/>
      <c r="S28" s="234"/>
      <c r="T28" s="234"/>
      <c r="U28" s="235"/>
      <c r="V28" s="91"/>
      <c r="W28" s="91"/>
      <c r="X28" s="91"/>
      <c r="Y28" s="91"/>
      <c r="Z28" s="91"/>
      <c r="AA28" s="91"/>
      <c r="AB28" s="91"/>
    </row>
    <row r="29" spans="2:28" ht="14.5" customHeight="1" x14ac:dyDescent="0.2">
      <c r="B29" s="91"/>
      <c r="C29" s="91"/>
      <c r="D29" s="91"/>
      <c r="E29" s="91"/>
      <c r="F29" s="91"/>
      <c r="G29" s="300"/>
      <c r="H29" s="301"/>
      <c r="I29" s="301"/>
      <c r="J29" s="301"/>
      <c r="K29" s="301"/>
      <c r="L29" s="301"/>
      <c r="M29" s="301"/>
      <c r="N29" s="302"/>
      <c r="O29" s="91"/>
      <c r="P29" s="236"/>
      <c r="Q29" s="237"/>
      <c r="R29" s="237"/>
      <c r="S29" s="237"/>
      <c r="T29" s="237"/>
      <c r="U29" s="238"/>
      <c r="V29" s="91"/>
      <c r="W29" s="91"/>
      <c r="X29" s="91"/>
      <c r="Y29" s="91"/>
      <c r="Z29" s="91"/>
      <c r="AA29" s="91"/>
      <c r="AB29" s="91"/>
    </row>
    <row r="30" spans="2:28" ht="14.5" customHeight="1" x14ac:dyDescent="0.2">
      <c r="B30" s="91"/>
      <c r="C30" s="91"/>
      <c r="D30" s="91"/>
      <c r="E30" s="91"/>
      <c r="F30" s="91"/>
      <c r="G30" s="149"/>
      <c r="H30" s="91"/>
      <c r="I30" s="91"/>
      <c r="J30" s="91"/>
      <c r="K30" s="91"/>
      <c r="L30" s="91"/>
      <c r="M30" s="91"/>
      <c r="N30" s="150"/>
      <c r="O30" s="91"/>
      <c r="P30" s="236"/>
      <c r="Q30" s="237"/>
      <c r="R30" s="237"/>
      <c r="S30" s="237"/>
      <c r="T30" s="237"/>
      <c r="U30" s="238"/>
      <c r="V30" s="91"/>
      <c r="W30" s="91"/>
      <c r="X30" s="91"/>
      <c r="Y30" s="91"/>
      <c r="Z30" s="91"/>
      <c r="AA30" s="91"/>
      <c r="AB30" s="91"/>
    </row>
    <row r="31" spans="2:28" ht="14.5" customHeight="1" x14ac:dyDescent="0.3">
      <c r="B31" s="91"/>
      <c r="C31" s="91"/>
      <c r="D31" s="91"/>
      <c r="E31" s="91"/>
      <c r="F31" s="91"/>
      <c r="G31" s="227" t="s">
        <v>402</v>
      </c>
      <c r="H31" s="228"/>
      <c r="I31" s="228"/>
      <c r="J31" s="228"/>
      <c r="K31" s="228"/>
      <c r="L31" s="228"/>
      <c r="M31" s="303">
        <f>COUNTIF(M32:N35,TRUE)</f>
        <v>3</v>
      </c>
      <c r="N31" s="304"/>
      <c r="O31" s="91"/>
      <c r="P31" s="186"/>
      <c r="Q31" s="187"/>
      <c r="R31" s="187"/>
      <c r="S31" s="187"/>
      <c r="T31" s="187"/>
      <c r="U31" s="188"/>
      <c r="V31" s="91"/>
      <c r="W31" s="91"/>
      <c r="X31" s="91"/>
      <c r="Y31" s="91"/>
      <c r="Z31" s="91"/>
      <c r="AA31" s="91"/>
      <c r="AB31" s="91"/>
    </row>
    <row r="32" spans="2:28" ht="14.5" customHeight="1" x14ac:dyDescent="0.3">
      <c r="B32" s="91"/>
      <c r="C32" s="91"/>
      <c r="D32" s="91"/>
      <c r="E32" s="91"/>
      <c r="F32" s="91"/>
      <c r="G32" s="229" t="s">
        <v>43</v>
      </c>
      <c r="H32" s="230"/>
      <c r="I32" s="230"/>
      <c r="J32" s="230"/>
      <c r="K32" s="230"/>
      <c r="L32" s="230"/>
      <c r="M32" s="231" t="b">
        <v>1</v>
      </c>
      <c r="N32" s="232"/>
      <c r="O32" s="91"/>
      <c r="P32" s="186"/>
      <c r="Q32" s="187"/>
      <c r="R32" s="187"/>
      <c r="S32" s="187"/>
      <c r="T32" s="187"/>
      <c r="U32" s="188"/>
      <c r="V32" s="91"/>
      <c r="W32" s="91"/>
      <c r="X32" s="91"/>
      <c r="Y32" s="91"/>
      <c r="Z32" s="91"/>
      <c r="AA32" s="91"/>
      <c r="AB32" s="91"/>
    </row>
    <row r="33" spans="2:28" ht="14.5" customHeight="1" x14ac:dyDescent="0.3">
      <c r="B33" s="91"/>
      <c r="C33" s="91"/>
      <c r="D33" s="91"/>
      <c r="E33" s="91"/>
      <c r="F33" s="91"/>
      <c r="G33" s="229" t="s">
        <v>121</v>
      </c>
      <c r="H33" s="230"/>
      <c r="I33" s="230"/>
      <c r="J33" s="230"/>
      <c r="K33" s="230"/>
      <c r="L33" s="230"/>
      <c r="M33" s="231" t="b">
        <v>1</v>
      </c>
      <c r="N33" s="232"/>
      <c r="O33" s="91"/>
      <c r="P33" s="186"/>
      <c r="Q33" s="187"/>
      <c r="R33" s="187"/>
      <c r="S33" s="187"/>
      <c r="T33" s="187"/>
      <c r="U33" s="188"/>
      <c r="V33" s="91"/>
      <c r="W33" s="91"/>
      <c r="X33" s="91"/>
      <c r="Y33" s="91"/>
      <c r="Z33" s="91"/>
      <c r="AA33" s="91"/>
      <c r="AB33" s="91"/>
    </row>
    <row r="34" spans="2:28" ht="14.5" customHeight="1" x14ac:dyDescent="0.2">
      <c r="B34" s="91"/>
      <c r="C34" s="91"/>
      <c r="D34" s="91"/>
      <c r="E34" s="91"/>
      <c r="F34" s="91"/>
      <c r="G34" s="229" t="s">
        <v>125</v>
      </c>
      <c r="H34" s="230"/>
      <c r="I34" s="230"/>
      <c r="J34" s="230"/>
      <c r="K34" s="230"/>
      <c r="L34" s="230"/>
      <c r="M34" s="231" t="b">
        <v>0</v>
      </c>
      <c r="N34" s="232"/>
      <c r="O34" s="91"/>
      <c r="P34" s="290" t="str">
        <f>CONCATENATE("Mitigation potential of ",G19," for the ",IF(SUM(IF(M31&gt;0,1,0),IF(M37&gt;0,1,0),IF(M42&gt;0,1,0),IF(M47&gt;0,1,0))&gt;1,"following sectors:","sector of"))</f>
        <v>Mitigation potential of PIREDD Maniema for the following sectors:</v>
      </c>
      <c r="Q34" s="291"/>
      <c r="R34" s="291"/>
      <c r="S34" s="291"/>
      <c r="T34" s="291"/>
      <c r="U34" s="292"/>
      <c r="V34" s="91"/>
      <c r="W34" s="91"/>
      <c r="X34" s="91"/>
      <c r="Y34" s="91"/>
      <c r="Z34" s="91"/>
      <c r="AA34" s="91"/>
      <c r="AB34" s="91"/>
    </row>
    <row r="35" spans="2:28" ht="14.5" customHeight="1" x14ac:dyDescent="0.2">
      <c r="B35" s="91"/>
      <c r="C35" s="91"/>
      <c r="D35" s="91"/>
      <c r="E35" s="91"/>
      <c r="F35" s="91"/>
      <c r="G35" s="229" t="s">
        <v>177</v>
      </c>
      <c r="H35" s="230"/>
      <c r="I35" s="230"/>
      <c r="J35" s="230"/>
      <c r="K35" s="230"/>
      <c r="L35" s="230"/>
      <c r="M35" s="231" t="b">
        <v>1</v>
      </c>
      <c r="N35" s="232"/>
      <c r="O35" s="91"/>
      <c r="P35" s="290"/>
      <c r="Q35" s="291"/>
      <c r="R35" s="291"/>
      <c r="S35" s="291"/>
      <c r="T35" s="291"/>
      <c r="U35" s="292"/>
      <c r="V35" s="91"/>
      <c r="W35" s="91"/>
      <c r="X35" s="91"/>
      <c r="Y35" s="91"/>
      <c r="Z35" s="91"/>
      <c r="AA35" s="91"/>
      <c r="AB35" s="91"/>
    </row>
    <row r="36" spans="2:28" ht="14.5" customHeight="1" x14ac:dyDescent="0.2">
      <c r="B36" s="91"/>
      <c r="C36" s="91"/>
      <c r="D36" s="91"/>
      <c r="E36" s="91"/>
      <c r="F36" s="91"/>
      <c r="G36" s="151"/>
      <c r="H36" s="152"/>
      <c r="I36" s="152"/>
      <c r="J36" s="152"/>
      <c r="K36" s="152"/>
      <c r="L36" s="152"/>
      <c r="M36" s="147"/>
      <c r="N36" s="148"/>
      <c r="O36" s="91"/>
      <c r="P36" s="290"/>
      <c r="Q36" s="291"/>
      <c r="R36" s="291"/>
      <c r="S36" s="291"/>
      <c r="T36" s="291"/>
      <c r="U36" s="292"/>
      <c r="V36" s="91"/>
      <c r="W36" s="91"/>
      <c r="X36" s="91"/>
      <c r="Y36" s="91"/>
      <c r="Z36" s="91"/>
      <c r="AA36" s="91"/>
      <c r="AB36" s="91"/>
    </row>
    <row r="37" spans="2:28" ht="14.5" customHeight="1" x14ac:dyDescent="0.2">
      <c r="B37" s="91"/>
      <c r="C37" s="91"/>
      <c r="D37" s="91"/>
      <c r="E37" s="91"/>
      <c r="F37" s="91"/>
      <c r="G37" s="227" t="s">
        <v>452</v>
      </c>
      <c r="H37" s="228"/>
      <c r="I37" s="228"/>
      <c r="J37" s="228"/>
      <c r="K37" s="228"/>
      <c r="L37" s="228"/>
      <c r="M37" s="303">
        <f>COUNTIF(M38:N40,TRUE)</f>
        <v>3</v>
      </c>
      <c r="N37" s="304"/>
      <c r="O37" s="91"/>
      <c r="P37" s="290"/>
      <c r="Q37" s="291"/>
      <c r="R37" s="291"/>
      <c r="S37" s="291"/>
      <c r="T37" s="291"/>
      <c r="U37" s="292"/>
      <c r="V37" s="91"/>
      <c r="W37" s="91"/>
      <c r="X37" s="91"/>
      <c r="Y37" s="91"/>
      <c r="Z37" s="91"/>
      <c r="AA37" s="91"/>
      <c r="AB37" s="91"/>
    </row>
    <row r="38" spans="2:28" ht="14.5" customHeight="1" x14ac:dyDescent="0.2">
      <c r="B38" s="91"/>
      <c r="C38" s="91"/>
      <c r="D38" s="91"/>
      <c r="E38" s="91"/>
      <c r="F38" s="91"/>
      <c r="G38" s="229" t="s">
        <v>197</v>
      </c>
      <c r="H38" s="230"/>
      <c r="I38" s="230"/>
      <c r="J38" s="230"/>
      <c r="K38" s="230"/>
      <c r="L38" s="230"/>
      <c r="M38" s="231" t="b">
        <v>1</v>
      </c>
      <c r="N38" s="232"/>
      <c r="O38" s="91"/>
      <c r="P38" s="290"/>
      <c r="Q38" s="291"/>
      <c r="R38" s="291"/>
      <c r="S38" s="291"/>
      <c r="T38" s="291"/>
      <c r="U38" s="292"/>
      <c r="V38" s="91"/>
      <c r="W38" s="91"/>
      <c r="X38" s="91"/>
      <c r="Y38" s="91"/>
      <c r="Z38" s="91"/>
      <c r="AA38" s="91"/>
      <c r="AB38" s="91"/>
    </row>
    <row r="39" spans="2:28" ht="14.5" customHeight="1" x14ac:dyDescent="0.3">
      <c r="B39" s="91"/>
      <c r="C39" s="91"/>
      <c r="D39" s="91"/>
      <c r="E39" s="91"/>
      <c r="F39" s="91"/>
      <c r="G39" s="229" t="s">
        <v>239</v>
      </c>
      <c r="H39" s="230"/>
      <c r="I39" s="230"/>
      <c r="J39" s="230"/>
      <c r="K39" s="230"/>
      <c r="L39" s="230"/>
      <c r="M39" s="231" t="b">
        <v>1</v>
      </c>
      <c r="N39" s="232"/>
      <c r="O39" s="91"/>
      <c r="P39" s="186"/>
      <c r="Q39" s="187"/>
      <c r="R39" s="187"/>
      <c r="S39" s="187"/>
      <c r="T39" s="187"/>
      <c r="U39" s="188"/>
      <c r="V39" s="91"/>
      <c r="W39" s="91"/>
      <c r="X39" s="91"/>
      <c r="Y39" s="91"/>
      <c r="Z39" s="91"/>
      <c r="AA39" s="91"/>
      <c r="AB39" s="91"/>
    </row>
    <row r="40" spans="2:28" ht="14.5" customHeight="1" x14ac:dyDescent="0.3">
      <c r="B40" s="91"/>
      <c r="C40" s="91"/>
      <c r="D40" s="91"/>
      <c r="E40" s="91"/>
      <c r="F40" s="91"/>
      <c r="G40" s="229" t="s">
        <v>242</v>
      </c>
      <c r="H40" s="230"/>
      <c r="I40" s="230"/>
      <c r="J40" s="230"/>
      <c r="K40" s="230"/>
      <c r="L40" s="230"/>
      <c r="M40" s="231" t="b">
        <v>1</v>
      </c>
      <c r="N40" s="232"/>
      <c r="O40" s="91"/>
      <c r="P40" s="186"/>
      <c r="Q40" s="187"/>
      <c r="R40" s="187"/>
      <c r="S40" s="187"/>
      <c r="T40" s="187"/>
      <c r="U40" s="188"/>
      <c r="V40" s="91"/>
      <c r="W40" s="91"/>
      <c r="X40" s="91"/>
      <c r="Y40" s="91"/>
      <c r="Z40" s="91"/>
      <c r="AA40" s="91"/>
      <c r="AB40" s="91"/>
    </row>
    <row r="41" spans="2:28" ht="14.5" customHeight="1" x14ac:dyDescent="0.3">
      <c r="B41" s="91"/>
      <c r="C41" s="91"/>
      <c r="D41" s="91"/>
      <c r="E41" s="91"/>
      <c r="F41" s="91"/>
      <c r="G41" s="151"/>
      <c r="H41" s="152"/>
      <c r="I41" s="152"/>
      <c r="J41" s="152"/>
      <c r="K41" s="152"/>
      <c r="L41" s="152"/>
      <c r="M41" s="147"/>
      <c r="N41" s="148"/>
      <c r="O41" s="91"/>
      <c r="P41" s="186"/>
      <c r="Q41" s="187"/>
      <c r="R41" s="187"/>
      <c r="S41" s="187"/>
      <c r="T41" s="187"/>
      <c r="U41" s="188"/>
      <c r="V41" s="91"/>
      <c r="W41" s="91"/>
      <c r="X41" s="91"/>
      <c r="Y41" s="91"/>
      <c r="Z41" s="91"/>
      <c r="AA41" s="91"/>
      <c r="AB41" s="91"/>
    </row>
    <row r="42" spans="2:28" ht="14.5" customHeight="1" x14ac:dyDescent="0.2">
      <c r="B42" s="91"/>
      <c r="C42" s="91"/>
      <c r="D42" s="91"/>
      <c r="E42" s="91"/>
      <c r="F42" s="91"/>
      <c r="G42" s="227" t="s">
        <v>453</v>
      </c>
      <c r="H42" s="228"/>
      <c r="I42" s="228"/>
      <c r="J42" s="228"/>
      <c r="K42" s="228"/>
      <c r="L42" s="228"/>
      <c r="M42" s="303">
        <f>COUNTIF(M43:N45,TRUE)</f>
        <v>3</v>
      </c>
      <c r="N42" s="304"/>
      <c r="O42" s="91"/>
      <c r="P42" s="189"/>
      <c r="Q42" s="239" t="str">
        <f>IF(SUM(M31,M37,M42,M47)=0,"","(i)")</f>
        <v>(i)</v>
      </c>
      <c r="R42" s="295" t="str">
        <f>IF(SUM(M31,M37,M42,M47)=0,"",IF(M31&gt;0,G31,IF(AND(M31=0,M37&gt;0),G37,IF(AND(M31=0,M37=0,M42&gt;0),G42,IF(AND(M31=0,M37=0,M42=0,M47&gt;0),G47,IF(SUM(M31,M37,M42,M47)=4,G31))))))</f>
        <v>Energy</v>
      </c>
      <c r="S42" s="295"/>
      <c r="T42" s="295"/>
      <c r="U42" s="296"/>
      <c r="V42" s="91"/>
      <c r="W42" s="91"/>
      <c r="X42" s="91"/>
      <c r="Y42" s="91"/>
      <c r="Z42" s="91"/>
      <c r="AA42" s="91"/>
      <c r="AB42" s="91"/>
    </row>
    <row r="43" spans="2:28" ht="14.5" customHeight="1" x14ac:dyDescent="0.2">
      <c r="B43" s="91"/>
      <c r="C43" s="91"/>
      <c r="D43" s="91"/>
      <c r="E43" s="91"/>
      <c r="F43" s="91"/>
      <c r="G43" s="229" t="s">
        <v>255</v>
      </c>
      <c r="H43" s="230"/>
      <c r="I43" s="230"/>
      <c r="J43" s="230"/>
      <c r="K43" s="230"/>
      <c r="L43" s="230"/>
      <c r="M43" s="231" t="b">
        <v>1</v>
      </c>
      <c r="N43" s="232"/>
      <c r="O43" s="91"/>
      <c r="P43" s="189"/>
      <c r="Q43" s="239"/>
      <c r="R43" s="295"/>
      <c r="S43" s="295"/>
      <c r="T43" s="295"/>
      <c r="U43" s="296"/>
      <c r="V43" s="91"/>
      <c r="W43" s="91"/>
      <c r="X43" s="91"/>
      <c r="Y43" s="91"/>
      <c r="Z43" s="91"/>
      <c r="AA43" s="91"/>
      <c r="AB43" s="91"/>
    </row>
    <row r="44" spans="2:28" ht="14.5" customHeight="1" x14ac:dyDescent="0.2">
      <c r="B44" s="91"/>
      <c r="C44" s="91"/>
      <c r="D44" s="91"/>
      <c r="E44" s="91"/>
      <c r="F44" s="91"/>
      <c r="G44" s="229" t="s">
        <v>256</v>
      </c>
      <c r="H44" s="230"/>
      <c r="I44" s="230"/>
      <c r="J44" s="230"/>
      <c r="K44" s="230"/>
      <c r="L44" s="230"/>
      <c r="M44" s="231" t="b">
        <v>1</v>
      </c>
      <c r="N44" s="232"/>
      <c r="O44" s="91"/>
      <c r="P44" s="189"/>
      <c r="Q44" s="239" t="str">
        <f>IF(SUM(IF(M31&gt;0,1,0),IF(M37&gt;0,1,0),IF(M42&gt;0,1,0),IF(M47&gt;0,1,0))&gt;=2,"(ii)","")</f>
        <v>(ii)</v>
      </c>
      <c r="R44" s="293" t="str">
        <f>IF(SUM(IF(M31&gt;0,1,0),IF(M37&gt;0,1,0),IF(M42&gt;0,1,0),IF(M47&gt;0,1,0))&lt;2,"",IF(SUM(IF(M31&gt;0,1,0),IF(M37&gt;0,1,0),IF(M42&gt;0,1,0),IF(M47&gt;0,1,0))&gt;=4,G37,IF(AND(M31=0,M37&gt;0,M42&gt;0),G42,IF(AND(M31=0,M42=0,M47&gt;0),G47,IF(AND(M31&gt;0,M37&gt;0),G37,IF(AND(M31&gt;0,M37=0,M42=0,M47&gt;0),G47,IF(AND(M31&gt;0,M37=0,M42&gt;0),G42,IF(AND(M31=0,M37=0,M42&gt;0,M47&gt;0),G47,""))))))))</f>
        <v>Afforestation &amp; Restauration</v>
      </c>
      <c r="S44" s="293"/>
      <c r="T44" s="293"/>
      <c r="U44" s="294"/>
      <c r="V44" s="91"/>
      <c r="W44" s="91"/>
      <c r="X44" s="91"/>
      <c r="Y44" s="91"/>
      <c r="Z44" s="91"/>
      <c r="AA44" s="91"/>
      <c r="AB44" s="91"/>
    </row>
    <row r="45" spans="2:28" ht="14.5" customHeight="1" x14ac:dyDescent="0.2">
      <c r="B45" s="91"/>
      <c r="C45" s="91"/>
      <c r="D45" s="91"/>
      <c r="E45" s="91"/>
      <c r="F45" s="91"/>
      <c r="G45" s="229" t="s">
        <v>257</v>
      </c>
      <c r="H45" s="230"/>
      <c r="I45" s="230"/>
      <c r="J45" s="230"/>
      <c r="K45" s="230"/>
      <c r="L45" s="230"/>
      <c r="M45" s="231" t="b">
        <v>1</v>
      </c>
      <c r="N45" s="232"/>
      <c r="O45" s="91"/>
      <c r="P45" s="189"/>
      <c r="Q45" s="239"/>
      <c r="R45" s="293"/>
      <c r="S45" s="293"/>
      <c r="T45" s="293"/>
      <c r="U45" s="294"/>
      <c r="V45" s="91"/>
      <c r="W45" s="91"/>
      <c r="X45" s="91"/>
      <c r="Y45" s="91"/>
      <c r="Z45" s="91"/>
      <c r="AA45" s="91"/>
      <c r="AB45" s="91"/>
    </row>
    <row r="46" spans="2:28" ht="14.5" customHeight="1" x14ac:dyDescent="0.2">
      <c r="B46" s="91"/>
      <c r="C46" s="91"/>
      <c r="D46" s="91"/>
      <c r="E46" s="91"/>
      <c r="F46" s="91"/>
      <c r="G46" s="151"/>
      <c r="H46" s="152"/>
      <c r="I46" s="152"/>
      <c r="J46" s="152"/>
      <c r="K46" s="152"/>
      <c r="L46" s="152"/>
      <c r="M46" s="147"/>
      <c r="N46" s="148"/>
      <c r="O46" s="91"/>
      <c r="P46" s="189"/>
      <c r="Q46" s="239" t="str">
        <f>IF(SUM(IF(M31&gt;0,1,0),IF(M37&gt;0,1,0),IF(M42&gt;0,1,0),IF(M47&gt;0,1,0))&lt;3,"","(iii)")</f>
        <v>(iii)</v>
      </c>
      <c r="R46" s="295" t="str">
        <f>IF(SUM(IF(M31&gt;0,1,0),IF(M37&gt;0,1,0),IF(M42&gt;0,1,0),IF(M47&gt;0,1,0))&lt;3,"",IF(SUM(IF(M31&gt;0,1,0),IF(M37&gt;0,1,0),IF(M42&gt;0,1,0),IF(M47&gt;0,1,0))&gt;=4,G42,IF(AND(R44=G37,M42&gt;0),G42,IF(R44=G42,G47,IF(AND(R44=G37,M42=0),G47,"")))))</f>
        <v>Agriculture</v>
      </c>
      <c r="S46" s="295"/>
      <c r="T46" s="295"/>
      <c r="U46" s="296"/>
      <c r="V46" s="91"/>
      <c r="W46" s="91"/>
      <c r="X46" s="91"/>
      <c r="Y46" s="91"/>
      <c r="Z46" s="91"/>
      <c r="AA46" s="91"/>
      <c r="AB46" s="91"/>
    </row>
    <row r="47" spans="2:28" ht="14.5" customHeight="1" x14ac:dyDescent="0.2">
      <c r="B47" s="91"/>
      <c r="C47" s="91"/>
      <c r="D47" s="91"/>
      <c r="E47" s="91"/>
      <c r="F47" s="91"/>
      <c r="G47" s="227" t="s">
        <v>454</v>
      </c>
      <c r="H47" s="228"/>
      <c r="I47" s="228"/>
      <c r="J47" s="228"/>
      <c r="K47" s="228"/>
      <c r="L47" s="228"/>
      <c r="M47" s="303">
        <f>COUNTIF(M48:N50,TRUE)</f>
        <v>3</v>
      </c>
      <c r="N47" s="304"/>
      <c r="O47" s="91"/>
      <c r="P47" s="189"/>
      <c r="Q47" s="239"/>
      <c r="R47" s="295"/>
      <c r="S47" s="295"/>
      <c r="T47" s="295"/>
      <c r="U47" s="296"/>
      <c r="V47" s="91"/>
      <c r="W47" s="91"/>
      <c r="X47" s="91"/>
      <c r="Y47" s="91"/>
      <c r="Z47" s="91"/>
      <c r="AA47" s="91"/>
      <c r="AB47" s="91"/>
    </row>
    <row r="48" spans="2:28" ht="14.5" customHeight="1" x14ac:dyDescent="0.2">
      <c r="B48" s="91"/>
      <c r="C48" s="91"/>
      <c r="D48" s="91"/>
      <c r="E48" s="91"/>
      <c r="F48" s="91"/>
      <c r="G48" s="229" t="s">
        <v>371</v>
      </c>
      <c r="H48" s="230"/>
      <c r="I48" s="230"/>
      <c r="J48" s="230"/>
      <c r="K48" s="230"/>
      <c r="L48" s="230"/>
      <c r="M48" s="231" t="b">
        <v>1</v>
      </c>
      <c r="N48" s="232"/>
      <c r="O48" s="91"/>
      <c r="P48" s="189"/>
      <c r="Q48" s="239" t="str">
        <f>IF(SUM(IF(M31&gt;0,1,0),IF(M37&gt;0,1,0),IF(M42&gt;0,1,0),IF(M47&gt;0,1,0))&lt;4,"","(iv)")</f>
        <v>(iv)</v>
      </c>
      <c r="R48" s="295" t="str">
        <f>IF(SUM(IF(M31&gt;0,1,0),IF(M37&gt;0,1,0),IF(M42&gt;0,1,0),IF(M47&gt;0,1,0))&lt;4,"",IF(SUM(IF(M31&gt;0,1,0),IF(M37&gt;0,1,0),IF(M42&gt;0,1,0),IF(M47&gt;0,1,0))&gt;=4,G47,IF(R46=G42,G47,"")))</f>
        <v>Forestry &amp; Conservation</v>
      </c>
      <c r="S48" s="295"/>
      <c r="T48" s="295"/>
      <c r="U48" s="296"/>
      <c r="V48" s="91"/>
      <c r="W48" s="91"/>
      <c r="X48" s="91"/>
      <c r="Y48" s="91"/>
      <c r="Z48" s="91"/>
      <c r="AA48" s="91"/>
      <c r="AB48" s="91"/>
    </row>
    <row r="49" spans="2:28" ht="14.5" customHeight="1" x14ac:dyDescent="0.2">
      <c r="B49" s="91"/>
      <c r="C49" s="91"/>
      <c r="D49" s="91"/>
      <c r="E49" s="91"/>
      <c r="F49" s="91"/>
      <c r="G49" s="229" t="s">
        <v>372</v>
      </c>
      <c r="H49" s="230"/>
      <c r="I49" s="230"/>
      <c r="J49" s="230"/>
      <c r="K49" s="230"/>
      <c r="L49" s="230"/>
      <c r="M49" s="231" t="b">
        <v>1</v>
      </c>
      <c r="N49" s="232"/>
      <c r="O49" s="91"/>
      <c r="P49" s="189"/>
      <c r="Q49" s="239"/>
      <c r="R49" s="295"/>
      <c r="S49" s="295"/>
      <c r="T49" s="295"/>
      <c r="U49" s="296"/>
      <c r="V49" s="91"/>
      <c r="W49" s="91"/>
      <c r="X49" s="91"/>
      <c r="Y49" s="91"/>
      <c r="Z49" s="91"/>
      <c r="AA49" s="91"/>
      <c r="AB49" s="91"/>
    </row>
    <row r="50" spans="2:28" ht="14.5" customHeight="1" x14ac:dyDescent="0.2">
      <c r="B50" s="91"/>
      <c r="C50" s="91"/>
      <c r="D50" s="91"/>
      <c r="E50" s="91"/>
      <c r="F50" s="91"/>
      <c r="G50" s="229" t="s">
        <v>365</v>
      </c>
      <c r="H50" s="230"/>
      <c r="I50" s="230"/>
      <c r="J50" s="230"/>
      <c r="K50" s="230"/>
      <c r="L50" s="230"/>
      <c r="M50" s="231" t="b">
        <v>1</v>
      </c>
      <c r="N50" s="232"/>
      <c r="O50" s="91"/>
      <c r="P50" s="190"/>
      <c r="Q50" s="191"/>
      <c r="R50" s="191"/>
      <c r="S50" s="191"/>
      <c r="T50" s="191"/>
      <c r="U50" s="192"/>
      <c r="V50" s="91"/>
      <c r="W50" s="91"/>
      <c r="X50" s="91"/>
      <c r="Y50" s="91"/>
      <c r="Z50" s="91"/>
      <c r="AA50" s="91"/>
      <c r="AB50" s="91"/>
    </row>
    <row r="51" spans="2:28" ht="15" customHeight="1" thickBot="1" x14ac:dyDescent="0.25">
      <c r="B51" s="91"/>
      <c r="C51" s="91"/>
      <c r="D51" s="91"/>
      <c r="E51" s="91"/>
      <c r="F51" s="91"/>
      <c r="G51" s="153"/>
      <c r="H51" s="154"/>
      <c r="I51" s="154"/>
      <c r="J51" s="154"/>
      <c r="K51" s="154"/>
      <c r="L51" s="154"/>
      <c r="M51" s="154"/>
      <c r="N51" s="155"/>
      <c r="O51" s="91"/>
      <c r="P51" s="193"/>
      <c r="Q51" s="194"/>
      <c r="R51" s="194"/>
      <c r="S51" s="194"/>
      <c r="T51" s="194"/>
      <c r="U51" s="195"/>
      <c r="V51" s="91"/>
      <c r="W51" s="91"/>
      <c r="X51" s="91"/>
      <c r="Y51" s="91"/>
      <c r="Z51" s="91"/>
      <c r="AA51" s="91"/>
      <c r="AB51" s="91"/>
    </row>
    <row r="52" spans="2:28" x14ac:dyDescent="0.2">
      <c r="B52" s="91"/>
      <c r="C52" s="91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</row>
    <row r="53" spans="2:28" x14ac:dyDescent="0.2"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</row>
    <row r="54" spans="2:28" x14ac:dyDescent="0.2">
      <c r="B54" s="91"/>
      <c r="C54" s="91"/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</row>
    <row r="55" spans="2:28" ht="30" customHeight="1" x14ac:dyDescent="0.2">
      <c r="B55"/>
      <c r="D55" s="4" t="s">
        <v>16</v>
      </c>
      <c r="AB55"/>
    </row>
    <row r="56" spans="2:28" ht="8.5" customHeight="1" x14ac:dyDescent="0.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2:28" ht="14" customHeight="1" thickBot="1" x14ac:dyDescent="0.25">
      <c r="B57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/>
    </row>
    <row r="58" spans="2:28" ht="26.5" customHeight="1" x14ac:dyDescent="0.2">
      <c r="B58"/>
      <c r="C58" s="9"/>
      <c r="D58" s="209" t="s">
        <v>17</v>
      </c>
      <c r="E58" s="210"/>
      <c r="F58" s="210"/>
      <c r="G58" s="211"/>
      <c r="H58" s="9"/>
      <c r="I58" s="9"/>
      <c r="J58" s="9"/>
      <c r="K58" s="209" t="s">
        <v>22</v>
      </c>
      <c r="L58" s="210"/>
      <c r="M58" s="210"/>
      <c r="N58" s="210"/>
      <c r="O58" s="211"/>
      <c r="P58" s="9"/>
      <c r="Q58" s="9"/>
      <c r="R58" s="9"/>
      <c r="S58" s="209" t="s">
        <v>24</v>
      </c>
      <c r="T58" s="210"/>
      <c r="U58" s="210"/>
      <c r="V58" s="210"/>
      <c r="W58" s="211"/>
      <c r="X58" s="9"/>
      <c r="Y58" s="9"/>
      <c r="Z58" s="9"/>
      <c r="AA58" s="9"/>
      <c r="AB58"/>
    </row>
    <row r="59" spans="2:28" x14ac:dyDescent="0.2">
      <c r="B59"/>
      <c r="C59" s="9"/>
      <c r="D59" s="156"/>
      <c r="E59" s="9"/>
      <c r="F59" s="9"/>
      <c r="G59" s="157"/>
      <c r="H59" s="9"/>
      <c r="I59" s="9"/>
      <c r="J59" s="9"/>
      <c r="K59" s="156"/>
      <c r="L59" s="9"/>
      <c r="M59" s="9"/>
      <c r="N59" s="9"/>
      <c r="O59" s="157"/>
      <c r="P59" s="9"/>
      <c r="Q59" s="9"/>
      <c r="R59" s="9"/>
      <c r="S59" s="156"/>
      <c r="T59" s="9"/>
      <c r="U59" s="9"/>
      <c r="V59" s="9"/>
      <c r="W59" s="157"/>
      <c r="X59" s="9"/>
      <c r="Y59" s="9"/>
      <c r="Z59" s="9"/>
      <c r="AA59" s="9"/>
      <c r="AB59"/>
    </row>
    <row r="60" spans="2:28" ht="32" x14ac:dyDescent="0.2">
      <c r="B60"/>
      <c r="C60" s="9"/>
      <c r="D60" s="156"/>
      <c r="E60" s="9"/>
      <c r="F60" s="158" t="s">
        <v>20</v>
      </c>
      <c r="G60" s="159" t="s">
        <v>21</v>
      </c>
      <c r="H60" s="9"/>
      <c r="I60" s="2"/>
      <c r="J60" s="9"/>
      <c r="K60" s="160"/>
      <c r="L60" s="161"/>
      <c r="M60" s="161"/>
      <c r="N60" s="158" t="s">
        <v>20</v>
      </c>
      <c r="O60" s="159" t="s">
        <v>21</v>
      </c>
      <c r="P60" s="9"/>
      <c r="Q60" s="9"/>
      <c r="R60" s="9"/>
      <c r="S60" s="156"/>
      <c r="T60" s="9"/>
      <c r="U60" s="9"/>
      <c r="V60" s="158" t="s">
        <v>20</v>
      </c>
      <c r="W60" s="159" t="s">
        <v>21</v>
      </c>
      <c r="X60" s="9"/>
      <c r="Y60" s="9"/>
      <c r="Z60" s="9"/>
      <c r="AA60" s="9"/>
      <c r="AB60"/>
    </row>
    <row r="61" spans="2:28" ht="20" customHeight="1" x14ac:dyDescent="0.25">
      <c r="B61"/>
      <c r="C61" s="9"/>
      <c r="D61" s="216" t="s">
        <v>18</v>
      </c>
      <c r="E61" s="217"/>
      <c r="F61" s="163">
        <v>1</v>
      </c>
      <c r="G61" s="8"/>
      <c r="H61" s="9"/>
      <c r="I61" s="9"/>
      <c r="J61" s="9"/>
      <c r="K61" s="218" t="s">
        <v>23</v>
      </c>
      <c r="L61" s="219"/>
      <c r="M61" s="219"/>
      <c r="N61" s="162"/>
      <c r="O61" s="157"/>
      <c r="P61" s="9"/>
      <c r="Q61" s="9"/>
      <c r="R61" s="9"/>
      <c r="S61" s="218" t="s">
        <v>25</v>
      </c>
      <c r="T61" s="219"/>
      <c r="U61" s="219"/>
      <c r="V61" s="162"/>
      <c r="W61" s="157"/>
      <c r="X61" s="9"/>
      <c r="Y61" s="9"/>
      <c r="Z61" s="9"/>
      <c r="AA61" s="9"/>
      <c r="AB61"/>
    </row>
    <row r="62" spans="2:28" ht="20" customHeight="1" x14ac:dyDescent="0.25">
      <c r="B62"/>
      <c r="C62" s="9"/>
      <c r="D62" s="216" t="s">
        <v>19</v>
      </c>
      <c r="E62" s="217"/>
      <c r="F62" s="163">
        <v>34</v>
      </c>
      <c r="G62" s="8"/>
      <c r="H62" s="9"/>
      <c r="I62" s="9"/>
      <c r="J62" s="9"/>
      <c r="K62" s="218"/>
      <c r="L62" s="219"/>
      <c r="M62" s="219"/>
      <c r="N62" s="163">
        <v>19</v>
      </c>
      <c r="O62" s="8"/>
      <c r="P62" s="9"/>
      <c r="Q62" s="9"/>
      <c r="R62" s="9"/>
      <c r="S62" s="218"/>
      <c r="T62" s="219"/>
      <c r="U62" s="219"/>
      <c r="V62" s="163">
        <v>0.47</v>
      </c>
      <c r="W62" s="8"/>
      <c r="X62" s="9"/>
      <c r="Y62" s="9"/>
      <c r="Z62" s="9"/>
      <c r="AA62" s="9"/>
      <c r="AB62"/>
    </row>
    <row r="63" spans="2:28" ht="20" customHeight="1" thickBot="1" x14ac:dyDescent="0.25">
      <c r="B63"/>
      <c r="C63" s="9"/>
      <c r="D63" s="216" t="s">
        <v>89</v>
      </c>
      <c r="E63" s="217"/>
      <c r="F63" s="163">
        <v>3.4</v>
      </c>
      <c r="G63" s="65"/>
      <c r="H63" s="9"/>
      <c r="I63" s="9"/>
      <c r="J63" s="9"/>
      <c r="K63" s="220"/>
      <c r="L63" s="221"/>
      <c r="M63" s="221"/>
      <c r="N63" s="165"/>
      <c r="O63" s="166"/>
      <c r="P63" s="9"/>
      <c r="Q63" s="9"/>
      <c r="R63" s="9"/>
      <c r="S63" s="220"/>
      <c r="T63" s="221"/>
      <c r="U63" s="221"/>
      <c r="V63" s="165"/>
      <c r="W63" s="166"/>
      <c r="X63" s="9"/>
      <c r="Y63" s="9"/>
      <c r="Z63" s="9"/>
      <c r="AA63" s="9"/>
      <c r="AB63"/>
    </row>
    <row r="64" spans="2:28" ht="20" customHeight="1" x14ac:dyDescent="0.2">
      <c r="B64"/>
      <c r="C64" s="9"/>
      <c r="D64" s="216" t="s">
        <v>71</v>
      </c>
      <c r="E64" s="217"/>
      <c r="F64" s="163">
        <v>1.8</v>
      </c>
      <c r="G64" s="8"/>
      <c r="H64" s="9"/>
      <c r="I64" s="9"/>
      <c r="J64" s="9"/>
      <c r="K64" s="164"/>
      <c r="L64" s="164"/>
      <c r="M64" s="164"/>
      <c r="N64" s="9"/>
      <c r="O64" s="9"/>
      <c r="P64" s="9"/>
      <c r="Q64" s="9"/>
      <c r="R64" s="9"/>
      <c r="S64" s="164"/>
      <c r="T64" s="164"/>
      <c r="U64" s="164"/>
      <c r="V64" s="9"/>
      <c r="W64" s="9"/>
      <c r="X64" s="9"/>
      <c r="Y64" s="9"/>
      <c r="Z64" s="9"/>
      <c r="AA64" s="9"/>
      <c r="AB64"/>
    </row>
    <row r="65" spans="2:28" ht="20" customHeight="1" x14ac:dyDescent="0.2">
      <c r="B65"/>
      <c r="C65" s="9"/>
      <c r="D65" s="224" t="s">
        <v>157</v>
      </c>
      <c r="E65" s="225"/>
      <c r="F65" s="162">
        <v>265</v>
      </c>
      <c r="G65" s="85"/>
      <c r="H65" s="9"/>
      <c r="I65" s="9"/>
      <c r="J65" s="9"/>
      <c r="K65" s="164"/>
      <c r="L65" s="164"/>
      <c r="M65" s="164"/>
      <c r="N65" s="9"/>
      <c r="O65" s="9"/>
      <c r="P65" s="9"/>
      <c r="Q65" s="9"/>
      <c r="R65" s="9"/>
      <c r="S65" s="164"/>
      <c r="T65" s="164"/>
      <c r="U65" s="164"/>
      <c r="V65" s="9"/>
      <c r="W65" s="9"/>
      <c r="X65" s="9"/>
      <c r="Y65" s="9"/>
      <c r="Z65" s="9"/>
      <c r="AA65" s="9"/>
      <c r="AB65"/>
    </row>
    <row r="66" spans="2:28" ht="11.5" customHeight="1" thickBot="1" x14ac:dyDescent="0.25">
      <c r="B66"/>
      <c r="C66" s="9"/>
      <c r="D66" s="167"/>
      <c r="E66" s="168"/>
      <c r="F66" s="168"/>
      <c r="G66" s="166"/>
      <c r="H66" s="9"/>
      <c r="I66" s="9"/>
      <c r="J66" s="9"/>
      <c r="K66" s="164"/>
      <c r="L66" s="164"/>
      <c r="M66" s="164"/>
      <c r="N66" s="9"/>
      <c r="O66" s="9"/>
      <c r="P66" s="9"/>
      <c r="Q66" s="9"/>
      <c r="R66" s="9"/>
      <c r="S66" s="164"/>
      <c r="T66" s="164"/>
      <c r="U66" s="164"/>
      <c r="V66" s="9"/>
      <c r="W66" s="9"/>
      <c r="X66" s="9"/>
      <c r="Y66" s="9"/>
      <c r="Z66" s="9"/>
      <c r="AA66" s="9"/>
      <c r="AB66"/>
    </row>
    <row r="67" spans="2:28" ht="20" customHeight="1" x14ac:dyDescent="0.2">
      <c r="B67"/>
      <c r="C67" s="9"/>
      <c r="D67" s="162"/>
      <c r="E67" s="162"/>
      <c r="F67" s="162"/>
      <c r="G67" s="9"/>
      <c r="H67" s="9"/>
      <c r="I67" s="9"/>
      <c r="J67" s="9"/>
      <c r="K67" s="164"/>
      <c r="L67" s="164"/>
      <c r="M67" s="164"/>
      <c r="N67" s="9"/>
      <c r="O67" s="9"/>
      <c r="P67" s="9"/>
      <c r="Q67" s="9"/>
      <c r="R67" s="9"/>
      <c r="S67" s="164"/>
      <c r="T67" s="164"/>
      <c r="U67" s="164"/>
      <c r="V67" s="9"/>
      <c r="W67" s="9"/>
      <c r="X67" s="9"/>
      <c r="Y67" s="9"/>
      <c r="Z67" s="9"/>
      <c r="AA67" s="9"/>
      <c r="AB67"/>
    </row>
    <row r="68" spans="2:28" ht="19.25" customHeight="1" thickBot="1" x14ac:dyDescent="0.25">
      <c r="B68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/>
    </row>
    <row r="69" spans="2:28" ht="27.5" customHeight="1" x14ac:dyDescent="0.2">
      <c r="B69"/>
      <c r="C69" s="9"/>
      <c r="D69" s="209" t="s">
        <v>94</v>
      </c>
      <c r="E69" s="210"/>
      <c r="F69" s="210"/>
      <c r="G69" s="210"/>
      <c r="H69" s="210"/>
      <c r="I69" s="210"/>
      <c r="J69" s="210"/>
      <c r="K69" s="210"/>
      <c r="L69" s="210"/>
      <c r="M69" s="211"/>
      <c r="N69" s="9"/>
      <c r="O69" s="209" t="s">
        <v>97</v>
      </c>
      <c r="P69" s="210"/>
      <c r="Q69" s="210"/>
      <c r="R69" s="210"/>
      <c r="S69" s="211"/>
      <c r="T69" s="9"/>
      <c r="U69" s="209" t="s">
        <v>162</v>
      </c>
      <c r="V69" s="210"/>
      <c r="W69" s="211"/>
      <c r="X69" s="9"/>
      <c r="Y69" s="9"/>
      <c r="Z69" s="9"/>
      <c r="AA69" s="9"/>
      <c r="AB69"/>
    </row>
    <row r="70" spans="2:28" ht="34.25" customHeight="1" x14ac:dyDescent="0.2">
      <c r="B70"/>
      <c r="C70" s="9"/>
      <c r="D70" s="156"/>
      <c r="E70" s="169"/>
      <c r="F70" s="169"/>
      <c r="G70" s="169"/>
      <c r="H70" s="170" t="s">
        <v>85</v>
      </c>
      <c r="I70" s="170" t="s">
        <v>86</v>
      </c>
      <c r="J70" s="170" t="s">
        <v>81</v>
      </c>
      <c r="K70" s="171" t="s">
        <v>71</v>
      </c>
      <c r="L70" s="172" t="s">
        <v>82</v>
      </c>
      <c r="M70" s="157"/>
      <c r="N70" s="9"/>
      <c r="O70" s="156"/>
      <c r="P70" s="223" t="s">
        <v>98</v>
      </c>
      <c r="Q70" s="223"/>
      <c r="R70" s="223"/>
      <c r="S70" s="157"/>
      <c r="T70" s="9"/>
      <c r="U70" s="173"/>
      <c r="V70" s="169"/>
      <c r="W70" s="174" t="s">
        <v>163</v>
      </c>
      <c r="X70" s="9"/>
      <c r="Y70" s="9"/>
      <c r="Z70" s="9"/>
      <c r="AA70" s="9"/>
      <c r="AB70"/>
    </row>
    <row r="71" spans="2:28" ht="14.5" customHeight="1" x14ac:dyDescent="0.2">
      <c r="B71"/>
      <c r="C71" s="9"/>
      <c r="D71" s="156"/>
      <c r="E71" s="208" t="s">
        <v>83</v>
      </c>
      <c r="F71" s="208"/>
      <c r="G71" s="208"/>
      <c r="H71" s="175">
        <v>1638</v>
      </c>
      <c r="I71" s="175">
        <v>5</v>
      </c>
      <c r="J71" s="175">
        <v>10</v>
      </c>
      <c r="K71" s="175">
        <v>113</v>
      </c>
      <c r="L71" s="176">
        <v>1.06</v>
      </c>
      <c r="M71" s="157"/>
      <c r="N71" s="9"/>
      <c r="O71" s="156"/>
      <c r="P71" s="177" t="s">
        <v>87</v>
      </c>
      <c r="Q71" s="222">
        <f>(1095*5)/1000</f>
        <v>5.4749999999999996</v>
      </c>
      <c r="R71" s="222"/>
      <c r="S71" s="157"/>
      <c r="T71" s="9"/>
      <c r="U71" s="216" t="s">
        <v>164</v>
      </c>
      <c r="V71" s="217"/>
      <c r="W71" s="178">
        <v>3.0000000000000001E-3</v>
      </c>
      <c r="X71" s="9"/>
      <c r="Y71" s="9"/>
      <c r="Z71" s="9"/>
      <c r="AA71" s="9"/>
      <c r="AB71"/>
    </row>
    <row r="72" spans="2:28" ht="14.5" customHeight="1" x14ac:dyDescent="0.2">
      <c r="B72"/>
      <c r="C72" s="9"/>
      <c r="D72" s="156"/>
      <c r="E72" s="208" t="s">
        <v>84</v>
      </c>
      <c r="F72" s="208"/>
      <c r="G72" s="208"/>
      <c r="H72" s="175">
        <v>2533</v>
      </c>
      <c r="I72" s="175">
        <v>11</v>
      </c>
      <c r="J72" s="175">
        <v>16</v>
      </c>
      <c r="K72" s="175">
        <v>313</v>
      </c>
      <c r="L72" s="176">
        <v>0.38</v>
      </c>
      <c r="M72" s="157"/>
      <c r="N72" s="9"/>
      <c r="O72" s="156"/>
      <c r="P72" s="177" t="s">
        <v>57</v>
      </c>
      <c r="Q72" s="219">
        <f>(1095*5)/1000</f>
        <v>5.4749999999999996</v>
      </c>
      <c r="R72" s="219"/>
      <c r="S72" s="157"/>
      <c r="T72" s="9"/>
      <c r="U72" s="216"/>
      <c r="V72" s="217"/>
      <c r="W72" s="178"/>
      <c r="X72" s="9"/>
      <c r="Y72" s="9"/>
      <c r="Z72" s="9"/>
      <c r="AA72" s="9"/>
      <c r="AB72"/>
    </row>
    <row r="73" spans="2:28" ht="14.5" customHeight="1" x14ac:dyDescent="0.2">
      <c r="B73"/>
      <c r="C73" s="9"/>
      <c r="D73" s="156"/>
      <c r="E73" s="208" t="s">
        <v>99</v>
      </c>
      <c r="F73" s="208"/>
      <c r="G73" s="208"/>
      <c r="H73" s="175"/>
      <c r="I73" s="175"/>
      <c r="J73" s="175"/>
      <c r="K73" s="175"/>
      <c r="L73" s="176"/>
      <c r="M73" s="157"/>
      <c r="N73" s="9"/>
      <c r="O73" s="156"/>
      <c r="P73" s="177" t="s">
        <v>80</v>
      </c>
      <c r="Q73" s="219">
        <f>(1095*5)/1000</f>
        <v>5.4749999999999996</v>
      </c>
      <c r="R73" s="219"/>
      <c r="S73" s="157"/>
      <c r="T73" s="9"/>
      <c r="U73" s="156"/>
      <c r="V73" s="9"/>
      <c r="W73" s="157"/>
      <c r="X73" s="9"/>
      <c r="Y73" s="9"/>
      <c r="Z73" s="9"/>
      <c r="AA73" s="9"/>
      <c r="AB73"/>
    </row>
    <row r="74" spans="2:28" ht="19.25" customHeight="1" thickBot="1" x14ac:dyDescent="0.25">
      <c r="B74"/>
      <c r="C74" s="9"/>
      <c r="D74" s="179"/>
      <c r="E74" s="165"/>
      <c r="F74" s="165"/>
      <c r="G74" s="165"/>
      <c r="H74" s="165"/>
      <c r="I74" s="165"/>
      <c r="J74" s="165"/>
      <c r="K74" s="165"/>
      <c r="L74" s="165"/>
      <c r="M74" s="166"/>
      <c r="N74" s="9"/>
      <c r="O74" s="179"/>
      <c r="P74" s="165"/>
      <c r="Q74" s="165"/>
      <c r="R74" s="165"/>
      <c r="S74" s="166"/>
      <c r="T74" s="9"/>
      <c r="U74" s="179"/>
      <c r="V74" s="165"/>
      <c r="W74" s="166"/>
      <c r="X74" s="9"/>
      <c r="Y74" s="9"/>
      <c r="Z74" s="9"/>
      <c r="AA74" s="9"/>
      <c r="AB74"/>
    </row>
    <row r="75" spans="2:28" ht="19.25" customHeight="1" x14ac:dyDescent="0.2">
      <c r="B75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/>
    </row>
    <row r="76" spans="2:28" ht="19.25" customHeight="1" thickBot="1" x14ac:dyDescent="0.25">
      <c r="B76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/>
    </row>
    <row r="77" spans="2:28" ht="27.5" customHeight="1" x14ac:dyDescent="0.2">
      <c r="B77"/>
      <c r="C77" s="9"/>
      <c r="D77" s="209" t="s">
        <v>115</v>
      </c>
      <c r="E77" s="210"/>
      <c r="F77" s="210"/>
      <c r="G77" s="210"/>
      <c r="H77" s="210"/>
      <c r="I77" s="210"/>
      <c r="J77" s="210"/>
      <c r="K77" s="210"/>
      <c r="L77" s="210"/>
      <c r="M77" s="211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/>
    </row>
    <row r="78" spans="2:28" ht="34.25" customHeight="1" x14ac:dyDescent="0.2">
      <c r="B78"/>
      <c r="C78" s="9"/>
      <c r="D78" s="156"/>
      <c r="E78" s="169"/>
      <c r="F78" s="169"/>
      <c r="G78" s="169"/>
      <c r="H78" s="170" t="s">
        <v>85</v>
      </c>
      <c r="I78" s="170" t="s">
        <v>86</v>
      </c>
      <c r="J78" s="170" t="s">
        <v>81</v>
      </c>
      <c r="K78" s="171" t="s">
        <v>71</v>
      </c>
      <c r="L78" s="172" t="s">
        <v>82</v>
      </c>
      <c r="M78" s="157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/>
    </row>
    <row r="79" spans="2:28" ht="19.25" customHeight="1" x14ac:dyDescent="0.2">
      <c r="B79"/>
      <c r="C79" s="9"/>
      <c r="D79" s="156"/>
      <c r="E79" s="208" t="s">
        <v>116</v>
      </c>
      <c r="F79" s="208"/>
      <c r="G79" s="208"/>
      <c r="H79" s="175">
        <v>9778</v>
      </c>
      <c r="I79" s="175">
        <v>47</v>
      </c>
      <c r="J79" s="175"/>
      <c r="K79" s="175"/>
      <c r="L79" s="176"/>
      <c r="M79" s="157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/>
    </row>
    <row r="80" spans="2:28" ht="19.25" customHeight="1" thickBot="1" x14ac:dyDescent="0.25">
      <c r="B80"/>
      <c r="C80" s="9"/>
      <c r="D80" s="179"/>
      <c r="E80" s="165"/>
      <c r="F80" s="165"/>
      <c r="G80" s="165"/>
      <c r="H80" s="165"/>
      <c r="I80" s="165"/>
      <c r="J80" s="165"/>
      <c r="K80" s="165"/>
      <c r="L80" s="165"/>
      <c r="M80" s="166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/>
    </row>
    <row r="81" spans="2:28" ht="19.25" customHeight="1" x14ac:dyDescent="0.2">
      <c r="B8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/>
    </row>
    <row r="82" spans="2:28" ht="19.25" customHeight="1" thickBot="1" x14ac:dyDescent="0.25">
      <c r="B82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/>
    </row>
    <row r="83" spans="2:28" ht="33.5" customHeight="1" x14ac:dyDescent="0.2">
      <c r="B83"/>
      <c r="C83" s="9"/>
      <c r="D83" s="209" t="s">
        <v>158</v>
      </c>
      <c r="E83" s="210"/>
      <c r="F83" s="210"/>
      <c r="G83" s="210"/>
      <c r="H83" s="210"/>
      <c r="I83" s="210"/>
      <c r="J83" s="210"/>
      <c r="K83" s="210"/>
      <c r="L83" s="210"/>
      <c r="M83" s="211"/>
      <c r="N83" s="9"/>
      <c r="O83" s="202" t="s">
        <v>159</v>
      </c>
      <c r="P83" s="203"/>
      <c r="Q83" s="203"/>
      <c r="R83" s="203"/>
      <c r="S83" s="204"/>
      <c r="T83" s="180"/>
      <c r="U83" s="9"/>
      <c r="V83" s="9"/>
      <c r="W83" s="9"/>
      <c r="X83" s="9"/>
      <c r="Y83" s="9"/>
      <c r="Z83" s="9"/>
      <c r="AA83" s="9"/>
      <c r="AB83"/>
    </row>
    <row r="84" spans="2:28" ht="34.25" customHeight="1" x14ac:dyDescent="0.2">
      <c r="B84"/>
      <c r="C84" s="9"/>
      <c r="D84" s="156"/>
      <c r="E84" s="169"/>
      <c r="F84" s="169"/>
      <c r="G84" s="169"/>
      <c r="H84" s="214" t="s">
        <v>154</v>
      </c>
      <c r="I84" s="214"/>
      <c r="J84" s="214" t="s">
        <v>156</v>
      </c>
      <c r="K84" s="214"/>
      <c r="L84" s="172" t="s">
        <v>160</v>
      </c>
      <c r="M84" s="157"/>
      <c r="N84" s="9"/>
      <c r="O84" s="156"/>
      <c r="P84" s="181" t="s">
        <v>9</v>
      </c>
      <c r="Q84" s="182"/>
      <c r="R84" s="183" t="s">
        <v>161</v>
      </c>
      <c r="S84" s="157"/>
      <c r="T84" s="9"/>
      <c r="U84" s="9"/>
      <c r="V84" s="9"/>
      <c r="W84" s="9"/>
      <c r="X84" s="9"/>
      <c r="Y84" s="9"/>
      <c r="Z84" s="9"/>
      <c r="AA84" s="9"/>
      <c r="AB84"/>
    </row>
    <row r="85" spans="2:28" ht="19.25" customHeight="1" x14ac:dyDescent="0.2">
      <c r="B85"/>
      <c r="C85" s="9"/>
      <c r="D85" s="156"/>
      <c r="E85" s="213" t="s">
        <v>129</v>
      </c>
      <c r="F85" s="213"/>
      <c r="G85" s="213"/>
      <c r="H85" s="215"/>
      <c r="I85" s="215"/>
      <c r="J85" s="215"/>
      <c r="K85" s="215"/>
      <c r="L85" s="176"/>
      <c r="M85" s="157"/>
      <c r="N85" s="9"/>
      <c r="O85" s="156"/>
      <c r="P85" s="177" t="s">
        <v>28</v>
      </c>
      <c r="Q85" s="9"/>
      <c r="R85" s="184">
        <v>305.4187</v>
      </c>
      <c r="S85" s="157"/>
      <c r="T85" s="9"/>
      <c r="U85" s="9"/>
      <c r="V85" s="9"/>
      <c r="W85" s="9"/>
      <c r="X85" s="9"/>
      <c r="Y85" s="9"/>
      <c r="Z85" s="9"/>
      <c r="AA85" s="9"/>
      <c r="AB85"/>
    </row>
    <row r="86" spans="2:28" ht="19.25" customHeight="1" x14ac:dyDescent="0.2">
      <c r="B86"/>
      <c r="C86" s="9"/>
      <c r="D86" s="156"/>
      <c r="E86" s="212" t="s">
        <v>127</v>
      </c>
      <c r="F86" s="212"/>
      <c r="G86" s="212"/>
      <c r="H86" s="289">
        <v>210.61433447098977</v>
      </c>
      <c r="I86" s="289"/>
      <c r="J86" s="289">
        <v>10.238907849829353</v>
      </c>
      <c r="K86" s="289"/>
      <c r="L86" s="185">
        <v>2.0477815699658706</v>
      </c>
      <c r="M86" s="157"/>
      <c r="N86" s="9"/>
      <c r="O86" s="156"/>
      <c r="P86" s="177" t="s">
        <v>30</v>
      </c>
      <c r="Q86" s="9"/>
      <c r="R86" s="184">
        <v>0</v>
      </c>
      <c r="S86" s="157"/>
      <c r="T86" s="9"/>
      <c r="U86" s="9"/>
      <c r="V86" s="9"/>
      <c r="W86" s="9"/>
      <c r="X86" s="9"/>
      <c r="Y86" s="9"/>
      <c r="Z86" s="9"/>
      <c r="AA86" s="9"/>
      <c r="AB86"/>
    </row>
    <row r="87" spans="2:28" ht="19.25" customHeight="1" x14ac:dyDescent="0.2">
      <c r="B87"/>
      <c r="C87" s="9"/>
      <c r="D87" s="156"/>
      <c r="E87" s="212" t="s">
        <v>131</v>
      </c>
      <c r="F87" s="212"/>
      <c r="G87" s="212"/>
      <c r="H87" s="289">
        <f>IF(T17=P85,R85,IF(T17=P86,R86,IF(T17=P87,R87,IF(T17=P88,R88,IF(T17=P89,R89,IF(T17=P90,R90,0))))))</f>
        <v>24.456524000000002</v>
      </c>
      <c r="I87" s="289"/>
      <c r="J87" s="289">
        <v>0</v>
      </c>
      <c r="K87" s="289"/>
      <c r="L87" s="185">
        <v>0</v>
      </c>
      <c r="M87" s="157"/>
      <c r="N87" s="9"/>
      <c r="O87" s="156"/>
      <c r="P87" s="177" t="s">
        <v>27</v>
      </c>
      <c r="Q87" s="9"/>
      <c r="R87" s="184">
        <v>700</v>
      </c>
      <c r="S87" s="157"/>
      <c r="T87" s="9"/>
      <c r="U87" s="9"/>
      <c r="V87" s="9"/>
      <c r="W87" s="9"/>
      <c r="X87" s="9"/>
      <c r="Y87" s="9"/>
      <c r="Z87" s="9"/>
      <c r="AA87" s="9"/>
      <c r="AB87"/>
    </row>
    <row r="88" spans="2:28" ht="19.25" customHeight="1" x14ac:dyDescent="0.2">
      <c r="B88"/>
      <c r="C88" s="9"/>
      <c r="D88" s="156"/>
      <c r="E88" s="212" t="s">
        <v>149</v>
      </c>
      <c r="F88" s="212"/>
      <c r="G88" s="212"/>
      <c r="H88" s="289">
        <v>181.09215017064849</v>
      </c>
      <c r="I88" s="289"/>
      <c r="J88" s="289">
        <v>3.4129692832764507</v>
      </c>
      <c r="K88" s="289"/>
      <c r="L88" s="185">
        <v>0.34129692832764508</v>
      </c>
      <c r="M88" s="157"/>
      <c r="N88" s="9"/>
      <c r="O88" s="156"/>
      <c r="P88" s="177" t="s">
        <v>26</v>
      </c>
      <c r="Q88" s="9"/>
      <c r="R88" s="184">
        <v>24.456524000000002</v>
      </c>
      <c r="S88" s="157"/>
      <c r="T88" s="9"/>
      <c r="U88" s="9"/>
      <c r="V88" s="9"/>
      <c r="W88" s="9"/>
      <c r="X88" s="9"/>
      <c r="Y88" s="9"/>
      <c r="Z88" s="9"/>
      <c r="AA88" s="9"/>
      <c r="AB88"/>
    </row>
    <row r="89" spans="2:28" ht="19.25" customHeight="1" x14ac:dyDescent="0.2">
      <c r="B89"/>
      <c r="C89" s="9"/>
      <c r="D89" s="156"/>
      <c r="E89" s="212" t="s">
        <v>126</v>
      </c>
      <c r="F89" s="212"/>
      <c r="G89" s="212"/>
      <c r="H89" s="289">
        <v>256.65529010238913</v>
      </c>
      <c r="I89" s="289"/>
      <c r="J89" s="289">
        <v>10.238907849829353</v>
      </c>
      <c r="K89" s="289"/>
      <c r="L89" s="185">
        <v>2.0477815699658706</v>
      </c>
      <c r="M89" s="157"/>
      <c r="N89" s="9"/>
      <c r="O89" s="156"/>
      <c r="P89" s="177" t="s">
        <v>31</v>
      </c>
      <c r="Q89" s="9"/>
      <c r="R89" s="184">
        <v>591.83672999999999</v>
      </c>
      <c r="S89" s="157"/>
      <c r="T89" s="9"/>
      <c r="U89" s="9"/>
      <c r="V89" s="9"/>
      <c r="W89" s="9"/>
      <c r="X89" s="9"/>
      <c r="Y89" s="9"/>
      <c r="Z89" s="9"/>
      <c r="AA89" s="9"/>
      <c r="AB89"/>
    </row>
    <row r="90" spans="2:28" ht="19.25" customHeight="1" x14ac:dyDescent="0.2">
      <c r="B90"/>
      <c r="C90" s="9"/>
      <c r="D90" s="156"/>
      <c r="E90" s="212" t="s">
        <v>150</v>
      </c>
      <c r="F90" s="212"/>
      <c r="G90" s="212"/>
      <c r="H90" s="289">
        <v>214.57337883959045</v>
      </c>
      <c r="I90" s="289"/>
      <c r="J90" s="289">
        <v>10.238907849829353</v>
      </c>
      <c r="K90" s="289"/>
      <c r="L90" s="185">
        <v>2.0477815699658706</v>
      </c>
      <c r="M90" s="157"/>
      <c r="N90" s="9"/>
      <c r="O90" s="156"/>
      <c r="P90" s="177" t="s">
        <v>29</v>
      </c>
      <c r="Q90" s="9"/>
      <c r="R90" s="184">
        <v>491.59661999999997</v>
      </c>
      <c r="S90" s="157"/>
      <c r="T90" s="9"/>
      <c r="U90" s="9"/>
      <c r="V90" s="9"/>
      <c r="W90" s="9"/>
      <c r="X90" s="9"/>
      <c r="Y90" s="9"/>
      <c r="Z90" s="9"/>
      <c r="AA90" s="9"/>
      <c r="AB90"/>
    </row>
    <row r="91" spans="2:28" ht="19.25" customHeight="1" thickBot="1" x14ac:dyDescent="0.25">
      <c r="B91"/>
      <c r="C91" s="9"/>
      <c r="D91" s="156"/>
      <c r="E91" s="213" t="s">
        <v>155</v>
      </c>
      <c r="F91" s="213"/>
      <c r="G91" s="213"/>
      <c r="H91" s="215"/>
      <c r="I91" s="215"/>
      <c r="J91" s="289"/>
      <c r="K91" s="289"/>
      <c r="L91" s="185"/>
      <c r="M91" s="157"/>
      <c r="N91" s="9"/>
      <c r="O91" s="179"/>
      <c r="P91" s="165"/>
      <c r="Q91" s="165"/>
      <c r="R91" s="165"/>
      <c r="S91" s="166"/>
      <c r="T91" s="9"/>
      <c r="U91" s="9"/>
      <c r="V91" s="9"/>
      <c r="W91" s="9"/>
      <c r="X91" s="9"/>
      <c r="Y91" s="9"/>
      <c r="Z91" s="9"/>
      <c r="AA91" s="9"/>
      <c r="AB91"/>
    </row>
    <row r="92" spans="2:28" ht="19.25" customHeight="1" x14ac:dyDescent="0.2">
      <c r="B92"/>
      <c r="C92" s="9"/>
      <c r="D92" s="156"/>
      <c r="E92" s="212" t="s">
        <v>133</v>
      </c>
      <c r="F92" s="212"/>
      <c r="G92" s="212"/>
      <c r="H92" s="289">
        <v>233.58361774744029</v>
      </c>
      <c r="I92" s="289"/>
      <c r="J92" s="289">
        <v>3.7542662116040959</v>
      </c>
      <c r="K92" s="289"/>
      <c r="L92" s="185">
        <v>0.37542662116040959</v>
      </c>
      <c r="M92" s="157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/>
    </row>
    <row r="93" spans="2:28" ht="19.25" customHeight="1" x14ac:dyDescent="0.2">
      <c r="B93"/>
      <c r="C93" s="9"/>
      <c r="D93" s="156"/>
      <c r="E93" s="212" t="s">
        <v>147</v>
      </c>
      <c r="F93" s="212"/>
      <c r="G93" s="212"/>
      <c r="H93" s="289">
        <v>252.01365187713313</v>
      </c>
      <c r="I93" s="289"/>
      <c r="J93" s="289">
        <v>3.7542662116040959</v>
      </c>
      <c r="K93" s="289"/>
      <c r="L93" s="185">
        <v>0.37542662116040959</v>
      </c>
      <c r="M93" s="157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/>
    </row>
    <row r="94" spans="2:28" ht="19.25" customHeight="1" x14ac:dyDescent="0.2">
      <c r="B94"/>
      <c r="C94" s="9"/>
      <c r="D94" s="156"/>
      <c r="E94" s="212" t="s">
        <v>148</v>
      </c>
      <c r="F94" s="212"/>
      <c r="G94" s="212"/>
      <c r="H94" s="289">
        <v>177.71331058020479</v>
      </c>
      <c r="I94" s="289"/>
      <c r="J94" s="289">
        <v>10.921501706484642</v>
      </c>
      <c r="K94" s="289"/>
      <c r="L94" s="185">
        <v>2.1501706484641638</v>
      </c>
      <c r="M94" s="157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/>
    </row>
    <row r="95" spans="2:28" ht="19.25" customHeight="1" thickBot="1" x14ac:dyDescent="0.25">
      <c r="B95"/>
      <c r="C95" s="9"/>
      <c r="D95" s="179"/>
      <c r="E95" s="165"/>
      <c r="F95" s="165"/>
      <c r="G95" s="165"/>
      <c r="H95" s="165"/>
      <c r="I95" s="165"/>
      <c r="J95" s="165"/>
      <c r="K95" s="165"/>
      <c r="L95" s="165"/>
      <c r="M95" s="166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/>
    </row>
    <row r="96" spans="2:28" ht="38.5" customHeight="1" x14ac:dyDescent="0.2">
      <c r="B96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202" t="s">
        <v>393</v>
      </c>
      <c r="P96" s="203"/>
      <c r="Q96" s="203"/>
      <c r="R96" s="203"/>
      <c r="S96" s="204"/>
      <c r="T96" s="9"/>
      <c r="U96" s="9"/>
      <c r="V96" s="9"/>
      <c r="W96" s="9"/>
      <c r="X96" s="9"/>
      <c r="Y96" s="9"/>
      <c r="Z96" s="9"/>
      <c r="AA96" s="9"/>
      <c r="AB96"/>
    </row>
    <row r="97" spans="2:28" ht="28.25" customHeight="1" x14ac:dyDescent="0.2">
      <c r="B97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156"/>
      <c r="P97" s="201" t="s">
        <v>396</v>
      </c>
      <c r="Q97" s="201"/>
      <c r="R97" s="183" t="s">
        <v>75</v>
      </c>
      <c r="S97" s="157"/>
      <c r="T97" s="9"/>
      <c r="U97" s="9"/>
      <c r="V97" s="9"/>
      <c r="W97" s="9"/>
      <c r="X97" s="9"/>
      <c r="Y97" s="9"/>
      <c r="Z97" s="9"/>
      <c r="AA97" s="9"/>
      <c r="AB97"/>
    </row>
    <row r="98" spans="2:28" ht="19.25" customHeight="1" x14ac:dyDescent="0.2">
      <c r="B98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156"/>
      <c r="P98" s="205" t="s">
        <v>394</v>
      </c>
      <c r="Q98" s="205"/>
      <c r="R98" s="206">
        <v>0.30919999999999997</v>
      </c>
      <c r="S98" s="157"/>
      <c r="T98" s="9"/>
      <c r="U98" s="9"/>
      <c r="V98" s="9"/>
      <c r="W98" s="9"/>
      <c r="X98" s="9"/>
      <c r="Y98" s="9"/>
      <c r="Z98" s="9"/>
      <c r="AA98" s="9"/>
      <c r="AB98"/>
    </row>
    <row r="99" spans="2:28" ht="24" customHeight="1" x14ac:dyDescent="0.2">
      <c r="B9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156"/>
      <c r="P99" s="197"/>
      <c r="Q99" s="197"/>
      <c r="R99" s="207"/>
      <c r="S99" s="157"/>
      <c r="T99" s="9"/>
      <c r="U99" s="9"/>
      <c r="V99" s="9"/>
      <c r="W99" s="9"/>
      <c r="X99" s="9"/>
      <c r="Y99" s="9"/>
      <c r="Z99" s="9"/>
      <c r="AA99" s="9"/>
      <c r="AB99"/>
    </row>
    <row r="100" spans="2:28" ht="19.25" customHeight="1" x14ac:dyDescent="0.2">
      <c r="B100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156"/>
      <c r="P100" s="197" t="s">
        <v>395</v>
      </c>
      <c r="Q100" s="197"/>
      <c r="R100" s="200">
        <v>2.5700000000000001E-2</v>
      </c>
      <c r="S100" s="157"/>
      <c r="T100" s="9"/>
      <c r="U100" s="9"/>
      <c r="V100" s="9"/>
      <c r="W100" s="9"/>
      <c r="X100" s="9"/>
      <c r="Y100" s="9"/>
      <c r="Z100" s="9"/>
      <c r="AA100" s="9"/>
      <c r="AB100"/>
    </row>
    <row r="101" spans="2:28" ht="19.25" customHeight="1" x14ac:dyDescent="0.2">
      <c r="B10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156"/>
      <c r="P101" s="197"/>
      <c r="Q101" s="197"/>
      <c r="R101" s="198"/>
      <c r="S101" s="157"/>
      <c r="T101" s="9"/>
      <c r="U101" s="9"/>
      <c r="V101" s="9"/>
      <c r="W101" s="9"/>
      <c r="X101" s="9"/>
      <c r="Y101" s="9"/>
      <c r="Z101" s="9"/>
      <c r="AA101" s="9"/>
      <c r="AB101"/>
    </row>
    <row r="102" spans="2:28" ht="19.25" customHeight="1" x14ac:dyDescent="0.2">
      <c r="B102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156"/>
      <c r="P102" s="197" t="s">
        <v>397</v>
      </c>
      <c r="Q102" s="197"/>
      <c r="R102" s="200">
        <v>0.45</v>
      </c>
      <c r="S102" s="157"/>
      <c r="T102" s="9"/>
      <c r="U102" s="9"/>
      <c r="V102" s="9"/>
      <c r="W102" s="9"/>
      <c r="X102" s="9"/>
      <c r="Y102" s="9"/>
      <c r="Z102" s="9"/>
      <c r="AA102" s="9"/>
      <c r="AB102"/>
    </row>
    <row r="103" spans="2:28" ht="19.25" customHeight="1" x14ac:dyDescent="0.2">
      <c r="B103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156"/>
      <c r="P103" s="197"/>
      <c r="Q103" s="197"/>
      <c r="R103" s="199"/>
      <c r="S103" s="157"/>
      <c r="T103" s="9"/>
      <c r="U103" s="9"/>
      <c r="V103" s="9"/>
      <c r="W103" s="9"/>
      <c r="X103" s="9"/>
      <c r="Y103" s="9"/>
      <c r="Z103" s="9"/>
      <c r="AA103" s="9"/>
      <c r="AB103"/>
    </row>
    <row r="104" spans="2:28" ht="28.25" customHeight="1" x14ac:dyDescent="0.2">
      <c r="B104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156"/>
      <c r="P104" s="197" t="s">
        <v>398</v>
      </c>
      <c r="Q104" s="197"/>
      <c r="R104" s="198">
        <v>1.3180000000000001E-2</v>
      </c>
      <c r="S104" s="157"/>
      <c r="T104" s="9"/>
      <c r="U104" s="9"/>
      <c r="V104" s="9"/>
      <c r="W104" s="9"/>
      <c r="X104" s="9"/>
      <c r="Y104" s="9"/>
      <c r="Z104" s="9"/>
      <c r="AA104" s="9"/>
      <c r="AB104"/>
    </row>
    <row r="105" spans="2:28" ht="19.25" customHeight="1" x14ac:dyDescent="0.2">
      <c r="B105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156"/>
      <c r="P105" s="197"/>
      <c r="Q105" s="197"/>
      <c r="R105" s="199"/>
      <c r="S105" s="157"/>
      <c r="T105" s="9"/>
      <c r="U105" s="9"/>
      <c r="V105" s="9"/>
      <c r="W105" s="9"/>
      <c r="X105" s="9"/>
      <c r="Y105" s="9"/>
      <c r="Z105" s="9"/>
      <c r="AA105" s="9"/>
      <c r="AB105"/>
    </row>
    <row r="106" spans="2:28" ht="19.25" customHeight="1" thickBot="1" x14ac:dyDescent="0.25">
      <c r="B106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179"/>
      <c r="P106" s="165"/>
      <c r="Q106" s="165"/>
      <c r="R106" s="165"/>
      <c r="S106" s="166"/>
      <c r="T106" s="9"/>
      <c r="U106" s="9"/>
      <c r="V106" s="9"/>
      <c r="W106" s="9"/>
      <c r="X106" s="9"/>
      <c r="Y106" s="9"/>
      <c r="Z106" s="9"/>
      <c r="AA106" s="9"/>
      <c r="AB106"/>
    </row>
    <row r="107" spans="2:28" ht="19.25" customHeight="1" x14ac:dyDescent="0.2">
      <c r="B107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/>
    </row>
    <row r="108" spans="2:28" ht="19.25" customHeight="1" x14ac:dyDescent="0.2">
      <c r="B108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/>
    </row>
    <row r="109" spans="2:28" ht="19.25" customHeight="1" x14ac:dyDescent="0.2">
      <c r="B10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/>
    </row>
    <row r="110" spans="2:28" x14ac:dyDescent="0.2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x14ac:dyDescent="0.2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x14ac:dyDescent="0.2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x14ac:dyDescent="0.2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</sheetData>
  <sheetProtection algorithmName="SHA-512" hashValue="pJcKOZOmqArvsZLSkq1BP0pY4BJtLzCBwj9JpYs61hmEv70Y1qVW3zXj3emHWolWCkT5DRNhz2skllKbuUGkXg==" saltValue="wvZkwFAGuaTflxL5tZhoOQ==" spinCount="100000" sheet="1" objects="1" scenarios="1" selectLockedCells="1"/>
  <protectedRanges>
    <protectedRange sqref="P28:U51 M31:N50 G17:J23 T17:W20 W21:W23 W62 O62 G61:G65" name="Range1_Start"/>
  </protectedRanges>
  <mergeCells count="142">
    <mergeCell ref="G28:N29"/>
    <mergeCell ref="G49:L49"/>
    <mergeCell ref="G50:L50"/>
    <mergeCell ref="M31:N31"/>
    <mergeCell ref="M37:N37"/>
    <mergeCell ref="M42:N42"/>
    <mergeCell ref="M47:N47"/>
    <mergeCell ref="M32:N32"/>
    <mergeCell ref="M33:N33"/>
    <mergeCell ref="M34:N34"/>
    <mergeCell ref="M35:N35"/>
    <mergeCell ref="M38:N38"/>
    <mergeCell ref="M39:N39"/>
    <mergeCell ref="M40:N40"/>
    <mergeCell ref="M43:N43"/>
    <mergeCell ref="M44:N44"/>
    <mergeCell ref="P34:U38"/>
    <mergeCell ref="H94:I94"/>
    <mergeCell ref="J94:K94"/>
    <mergeCell ref="O83:S83"/>
    <mergeCell ref="J91:K91"/>
    <mergeCell ref="H92:I92"/>
    <mergeCell ref="J92:K92"/>
    <mergeCell ref="H93:I93"/>
    <mergeCell ref="J93:K93"/>
    <mergeCell ref="M48:N48"/>
    <mergeCell ref="M49:N49"/>
    <mergeCell ref="M50:N50"/>
    <mergeCell ref="Q48:Q49"/>
    <mergeCell ref="R44:U45"/>
    <mergeCell ref="R42:U43"/>
    <mergeCell ref="R46:U47"/>
    <mergeCell ref="R48:U49"/>
    <mergeCell ref="U69:W69"/>
    <mergeCell ref="U72:V72"/>
    <mergeCell ref="U71:V71"/>
    <mergeCell ref="S61:U63"/>
    <mergeCell ref="E93:G93"/>
    <mergeCell ref="E94:G94"/>
    <mergeCell ref="E86:G86"/>
    <mergeCell ref="J84:K84"/>
    <mergeCell ref="J85:K85"/>
    <mergeCell ref="H86:I86"/>
    <mergeCell ref="J86:K86"/>
    <mergeCell ref="H87:I87"/>
    <mergeCell ref="J87:K87"/>
    <mergeCell ref="H88:I88"/>
    <mergeCell ref="J88:K88"/>
    <mergeCell ref="H89:I89"/>
    <mergeCell ref="J89:K89"/>
    <mergeCell ref="H90:I90"/>
    <mergeCell ref="J90:K90"/>
    <mergeCell ref="H7:T7"/>
    <mergeCell ref="H8:T8"/>
    <mergeCell ref="D16:J16"/>
    <mergeCell ref="Q16:W16"/>
    <mergeCell ref="D17:F17"/>
    <mergeCell ref="G17:J17"/>
    <mergeCell ref="Q17:S17"/>
    <mergeCell ref="T17:W17"/>
    <mergeCell ref="D18:F18"/>
    <mergeCell ref="G18:J18"/>
    <mergeCell ref="Q18:S18"/>
    <mergeCell ref="T18:W18"/>
    <mergeCell ref="Q19:S19"/>
    <mergeCell ref="T19:W19"/>
    <mergeCell ref="D19:F20"/>
    <mergeCell ref="G19:J20"/>
    <mergeCell ref="Q20:S20"/>
    <mergeCell ref="T20:W20"/>
    <mergeCell ref="D21:F21"/>
    <mergeCell ref="G21:J21"/>
    <mergeCell ref="Q21:S23"/>
    <mergeCell ref="T21:V21"/>
    <mergeCell ref="D22:F22"/>
    <mergeCell ref="G22:J22"/>
    <mergeCell ref="T22:V22"/>
    <mergeCell ref="D23:F23"/>
    <mergeCell ref="G23:J23"/>
    <mergeCell ref="T23:V23"/>
    <mergeCell ref="G24:J24"/>
    <mergeCell ref="D58:G58"/>
    <mergeCell ref="K58:O58"/>
    <mergeCell ref="S58:W58"/>
    <mergeCell ref="G31:L31"/>
    <mergeCell ref="G32:L32"/>
    <mergeCell ref="G33:L33"/>
    <mergeCell ref="G34:L34"/>
    <mergeCell ref="G35:L35"/>
    <mergeCell ref="G47:L47"/>
    <mergeCell ref="G48:L48"/>
    <mergeCell ref="G37:L37"/>
    <mergeCell ref="G38:L38"/>
    <mergeCell ref="G39:L39"/>
    <mergeCell ref="G40:L40"/>
    <mergeCell ref="G42:L42"/>
    <mergeCell ref="M45:N45"/>
    <mergeCell ref="G43:L43"/>
    <mergeCell ref="G44:L44"/>
    <mergeCell ref="G45:L45"/>
    <mergeCell ref="P28:U30"/>
    <mergeCell ref="Q42:Q43"/>
    <mergeCell ref="Q44:Q45"/>
    <mergeCell ref="Q46:Q47"/>
    <mergeCell ref="D64:E64"/>
    <mergeCell ref="E73:G73"/>
    <mergeCell ref="D69:M69"/>
    <mergeCell ref="D61:E61"/>
    <mergeCell ref="K61:M63"/>
    <mergeCell ref="O69:S69"/>
    <mergeCell ref="Q71:R71"/>
    <mergeCell ref="Q72:R72"/>
    <mergeCell ref="Q73:R73"/>
    <mergeCell ref="E71:G71"/>
    <mergeCell ref="E72:G72"/>
    <mergeCell ref="P70:R70"/>
    <mergeCell ref="D62:E62"/>
    <mergeCell ref="D63:E63"/>
    <mergeCell ref="D65:E65"/>
    <mergeCell ref="E79:G79"/>
    <mergeCell ref="D77:M77"/>
    <mergeCell ref="E92:G92"/>
    <mergeCell ref="D83:M83"/>
    <mergeCell ref="E85:G85"/>
    <mergeCell ref="H84:I84"/>
    <mergeCell ref="H85:I85"/>
    <mergeCell ref="E87:G87"/>
    <mergeCell ref="H91:I91"/>
    <mergeCell ref="E88:G88"/>
    <mergeCell ref="E89:G89"/>
    <mergeCell ref="E90:G90"/>
    <mergeCell ref="E91:G91"/>
    <mergeCell ref="P104:Q105"/>
    <mergeCell ref="R104:R105"/>
    <mergeCell ref="P100:Q101"/>
    <mergeCell ref="R100:R101"/>
    <mergeCell ref="P97:Q97"/>
    <mergeCell ref="P102:Q103"/>
    <mergeCell ref="R102:R103"/>
    <mergeCell ref="O96:S96"/>
    <mergeCell ref="P98:Q99"/>
    <mergeCell ref="R98:R99"/>
  </mergeCells>
  <phoneticPr fontId="16" type="noConversion"/>
  <conditionalFormatting sqref="D24:F24">
    <cfRule type="expression" dxfId="130" priority="2">
      <formula>#REF!="Other"</formula>
    </cfRule>
  </conditionalFormatting>
  <conditionalFormatting sqref="D24:J24">
    <cfRule type="expression" dxfId="129" priority="3">
      <formula>IF(OR(#REF! = "Design", "Implementation", "Completed"), "", "if other, please specify")</formula>
    </cfRule>
  </conditionalFormatting>
  <conditionalFormatting sqref="G24:J24">
    <cfRule type="expression" dxfId="128" priority="1">
      <formula>#REF!="Other"</formula>
    </cfRule>
  </conditionalFormatting>
  <pageMargins left="0.7" right="0.7" top="0.75" bottom="0.75" header="0.3" footer="0.3"/>
  <ignoredErrors>
    <ignoredError sqref="G18" unlockedFormula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585E50D-72E5-4391-ADBD-8FFB68BC4E09}">
          <x14:formula1>
            <xm:f>Sheet4!$A$6:$A$12</xm:f>
          </x14:formula1>
          <xm:sqref>T17:W17</xm:sqref>
        </x14:dataValidation>
        <x14:dataValidation type="list" allowBlank="1" showInputMessage="1" showErrorMessage="1" xr:uid="{5AD310F2-1108-4794-908B-248C841E03C8}">
          <x14:formula1>
            <xm:f>Sheet4!$B$6:$B$8</xm:f>
          </x14:formula1>
          <xm:sqref>T18:W18</xm:sqref>
        </x14:dataValidation>
        <x14:dataValidation type="list" allowBlank="1" showInputMessage="1" showErrorMessage="1" xr:uid="{8E89D7B5-FD71-4A09-92FE-494F71811A61}">
          <x14:formula1>
            <xm:f>Sheet4!$C$6:$C$9</xm:f>
          </x14:formula1>
          <xm:sqref>T19:W19</xm:sqref>
        </x14:dataValidation>
        <x14:dataValidation type="list" allowBlank="1" showInputMessage="1" showErrorMessage="1" xr:uid="{32D9C371-2975-4651-8EA4-CD6C37C82F0B}">
          <x14:formula1>
            <xm:f>Sheet4!$D$6:$D$12</xm:f>
          </x14:formula1>
          <xm:sqref>T20:W20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6DAC5-73AD-4804-BDE7-7CF0F839EACF}">
  <sheetPr>
    <tabColor theme="3" tint="0.249977111117893"/>
  </sheetPr>
  <dimension ref="A1:AO78"/>
  <sheetViews>
    <sheetView showGridLines="0" zoomScale="90" zoomScaleNormal="9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D16" sqref="D16:F16"/>
    </sheetView>
  </sheetViews>
  <sheetFormatPr baseColWidth="10" defaultColWidth="8.83203125" defaultRowHeight="15" x14ac:dyDescent="0.2"/>
  <cols>
    <col min="1" max="1" width="8.83203125" style="1"/>
    <col min="2" max="2" width="8.83203125" style="91"/>
    <col min="3" max="3" width="6.33203125" style="91" customWidth="1"/>
    <col min="4" max="6" width="8.83203125" style="91"/>
    <col min="7" max="7" width="3.33203125" style="91" customWidth="1"/>
    <col min="8" max="8" width="10.83203125" style="91" customWidth="1"/>
    <col min="9" max="9" width="12.33203125" style="91" customWidth="1"/>
    <col min="10" max="10" width="3.33203125" style="91" customWidth="1"/>
    <col min="11" max="11" width="9.33203125" style="91" customWidth="1"/>
    <col min="12" max="12" width="5.6640625" style="91" customWidth="1"/>
    <col min="13" max="13" width="8.83203125" style="91"/>
    <col min="14" max="14" width="5.5" style="91" customWidth="1"/>
    <col min="15" max="15" width="11.6640625" style="91" customWidth="1"/>
    <col min="16" max="16" width="12.33203125" style="91" customWidth="1"/>
    <col min="17" max="17" width="3.33203125" style="91" customWidth="1"/>
    <col min="18" max="18" width="11.1640625" style="91" customWidth="1"/>
    <col min="19" max="19" width="10.33203125" style="91" customWidth="1"/>
    <col min="20" max="20" width="3.33203125" style="91" customWidth="1"/>
    <col min="21" max="21" width="5.6640625" style="91" customWidth="1"/>
    <col min="22" max="22" width="6.33203125" style="91" customWidth="1"/>
    <col min="23" max="23" width="6.1640625" style="91" customWidth="1"/>
    <col min="24" max="24" width="6.6640625" style="91" customWidth="1"/>
    <col min="25" max="26" width="5.6640625" style="91" customWidth="1"/>
    <col min="27" max="27" width="7.33203125" style="91" customWidth="1"/>
    <col min="28" max="28" width="6.83203125" style="91" customWidth="1"/>
    <col min="29" max="30" width="10.33203125" style="91" customWidth="1"/>
    <col min="31" max="31" width="6.33203125" style="91" customWidth="1"/>
    <col min="32" max="32" width="8.83203125" style="91"/>
    <col min="33" max="33" width="1.83203125" style="91" customWidth="1"/>
    <col min="34" max="34" width="24.83203125" style="91" customWidth="1"/>
    <col min="35" max="35" width="3" style="91" customWidth="1"/>
    <col min="36" max="36" width="10.33203125" style="91" customWidth="1"/>
    <col min="37" max="37" width="9.5" style="91" customWidth="1"/>
    <col min="38" max="38" width="10.5" style="91" customWidth="1"/>
    <col min="39" max="39" width="10.1640625" style="91" customWidth="1"/>
    <col min="40" max="40" width="2.33203125" style="91" customWidth="1"/>
    <col min="41" max="41" width="8.83203125" style="91"/>
    <col min="42" max="16384" width="8.83203125" style="1"/>
  </cols>
  <sheetData>
    <row r="1" spans="1:41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1:41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x14ac:dyDescent="0.2">
      <c r="A5" s="1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29.5" customHeight="1" x14ac:dyDescent="0.2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</row>
    <row r="7" spans="1:41" ht="29.5" customHeight="1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</row>
    <row r="8" spans="1:41" ht="14.5" customHeight="1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</row>
    <row r="9" spans="1:41" ht="14.5" customHeight="1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</row>
    <row r="10" spans="1:41" ht="14.5" customHeight="1" x14ac:dyDescent="0.2">
      <c r="B10" s="89" t="s">
        <v>42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</row>
    <row r="11" spans="1:41" ht="30" customHeight="1" x14ac:dyDescent="0.2">
      <c r="C11" s="78" t="s">
        <v>108</v>
      </c>
      <c r="D11" s="4" t="s">
        <v>43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G11" s="86" t="s">
        <v>176</v>
      </c>
      <c r="AH11" s="322" t="s">
        <v>79</v>
      </c>
      <c r="AI11" s="322"/>
      <c r="AJ11" s="322"/>
      <c r="AK11" s="322"/>
      <c r="AL11" s="322"/>
      <c r="AM11" s="322"/>
      <c r="AN11" s="322"/>
    </row>
    <row r="12" spans="1:41" ht="7.25" customHeight="1" x14ac:dyDescent="0.2">
      <c r="D12" s="92"/>
    </row>
    <row r="13" spans="1:41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G13" s="9"/>
      <c r="AH13" s="9"/>
      <c r="AI13" s="9"/>
      <c r="AJ13" s="9"/>
      <c r="AK13" s="9"/>
      <c r="AL13" s="9"/>
      <c r="AM13" s="9"/>
      <c r="AN13" s="9"/>
    </row>
    <row r="14" spans="1:41" ht="35.5" customHeight="1" x14ac:dyDescent="0.2">
      <c r="C14" s="2"/>
      <c r="D14" s="312" t="s">
        <v>64</v>
      </c>
      <c r="E14" s="312"/>
      <c r="F14" s="312"/>
      <c r="G14" s="2"/>
      <c r="H14" s="312" t="s">
        <v>63</v>
      </c>
      <c r="I14" s="312"/>
      <c r="J14" s="2"/>
      <c r="K14" s="312" t="s">
        <v>58</v>
      </c>
      <c r="L14" s="312"/>
      <c r="M14" s="312"/>
      <c r="N14" s="2"/>
      <c r="O14" s="316" t="s">
        <v>95</v>
      </c>
      <c r="P14" s="316"/>
      <c r="Q14" s="3"/>
      <c r="R14" s="316" t="s">
        <v>96</v>
      </c>
      <c r="S14" s="316"/>
      <c r="T14" s="3"/>
      <c r="U14" s="316" t="s">
        <v>103</v>
      </c>
      <c r="V14" s="316"/>
      <c r="W14" s="316"/>
      <c r="X14" s="316"/>
      <c r="Y14" s="316"/>
      <c r="Z14" s="316"/>
      <c r="AA14" s="316"/>
      <c r="AB14" s="316"/>
      <c r="AC14" s="310" t="s">
        <v>77</v>
      </c>
      <c r="AD14" s="310"/>
      <c r="AE14" s="3"/>
      <c r="AG14" s="9"/>
      <c r="AH14" s="73" t="s">
        <v>91</v>
      </c>
      <c r="AI14" s="9"/>
      <c r="AJ14" s="310" t="s">
        <v>173</v>
      </c>
      <c r="AK14" s="310"/>
      <c r="AL14" s="310"/>
      <c r="AM14" s="310"/>
      <c r="AN14" s="9"/>
    </row>
    <row r="15" spans="1:41" ht="36" customHeight="1" x14ac:dyDescent="0.2">
      <c r="C15" s="2"/>
      <c r="D15" s="312"/>
      <c r="E15" s="312"/>
      <c r="F15" s="312"/>
      <c r="G15" s="12"/>
      <c r="H15" s="312"/>
      <c r="I15" s="312"/>
      <c r="J15" s="12"/>
      <c r="K15" s="312"/>
      <c r="L15" s="312"/>
      <c r="M15" s="312"/>
      <c r="N15" s="2"/>
      <c r="O15" s="14" t="s">
        <v>90</v>
      </c>
      <c r="P15" s="14" t="s">
        <v>51</v>
      </c>
      <c r="Q15" s="3"/>
      <c r="R15" s="14" t="s">
        <v>90</v>
      </c>
      <c r="S15" s="14" t="s">
        <v>51</v>
      </c>
      <c r="T15" s="17"/>
      <c r="U15" s="320" t="s">
        <v>18</v>
      </c>
      <c r="V15" s="320"/>
      <c r="W15" s="320" t="s">
        <v>19</v>
      </c>
      <c r="X15" s="320"/>
      <c r="Y15" s="320" t="s">
        <v>100</v>
      </c>
      <c r="Z15" s="320"/>
      <c r="AA15" s="320" t="s">
        <v>71</v>
      </c>
      <c r="AB15" s="320"/>
      <c r="AC15" s="310"/>
      <c r="AD15" s="310"/>
      <c r="AE15" s="3"/>
      <c r="AG15" s="9"/>
      <c r="AH15" s="72" t="s">
        <v>92</v>
      </c>
      <c r="AI15" s="9"/>
      <c r="AJ15" s="15" t="s">
        <v>18</v>
      </c>
      <c r="AK15" s="15" t="s">
        <v>19</v>
      </c>
      <c r="AL15" s="15" t="s">
        <v>89</v>
      </c>
      <c r="AM15" s="15" t="s">
        <v>71</v>
      </c>
      <c r="AN15" s="9"/>
    </row>
    <row r="16" spans="1:41" ht="17" customHeight="1" x14ac:dyDescent="0.2">
      <c r="C16" s="2"/>
      <c r="D16" s="318" t="s">
        <v>33</v>
      </c>
      <c r="E16" s="318"/>
      <c r="F16" s="318"/>
      <c r="G16" s="7"/>
      <c r="H16" s="318" t="s">
        <v>33</v>
      </c>
      <c r="I16" s="318"/>
      <c r="J16" s="7"/>
      <c r="K16" s="309">
        <v>0</v>
      </c>
      <c r="L16" s="309"/>
      <c r="M16" s="309"/>
      <c r="N16" s="2"/>
      <c r="O16" s="133"/>
      <c r="P16" s="16">
        <v>0.35</v>
      </c>
      <c r="Q16" s="3"/>
      <c r="R16" s="133"/>
      <c r="S16" s="16">
        <v>0.7</v>
      </c>
      <c r="T16" s="3"/>
      <c r="U16" s="314">
        <f>IF('1.Energy'!H16="Wood",Start!$Q$71,IF('1.Energy'!H16="Charcoal",Start!$Q$72,IF('1.Energy'!H16="Other",Start!$Q$73,0)))*K16*IF(AJ16&gt;0,AJ16/1000,IF('1.Energy'!H16="Wood",Start!$H$71/1000,IF('1.Energy'!H16="Charcoal",Start!$H$72/1000,IF('1.Energy'!H16="Other",Start!$H$73/1000,0))))*(1-(1-(IF(O16&gt;0,O16,P16)*IF(R16&gt;0,R16,S16))))</f>
        <v>0</v>
      </c>
      <c r="V16" s="314"/>
      <c r="W16" s="314">
        <f>IF('1.Energy'!H16="Wood",Start!$Q$71,IF('1.Energy'!H16="Charcoal",Start!$Q$72,IF('1.Energy'!H16="Other",Start!$Q$73,0)))*K16*IF(AK16&gt;0,AK16/1000,IF('1.Energy'!H16="Wood",Start!$I$71/1000,IF('1.Energy'!H16="Charcoal",Start!$I$72/1000,IF('1.Energy'!H16="Other",Start!$I$73/1000,0))))*(1-(1-(IF(O16&gt;0,O16,P16)*IF(R16&gt;0,R16,S16))))</f>
        <v>0</v>
      </c>
      <c r="X16" s="314"/>
      <c r="Y16" s="314">
        <f>IF('1.Energy'!H16="Wood",Start!$Q$71,IF('1.Energy'!H16="Charcoal",Start!$Q$72,IF('1.Energy'!H16="Other",Start!$Q$73,0)))*K16*IF(AL16&gt;0,AL16/1000,IF('1.Energy'!H16="Wood",Start!$J$71/1000,IF('1.Energy'!H16="Charcoal",Start!$J$72/1000,IF('1.Energy'!H16="Other",Start!$J$73/1000,0))))*(1-(1-(IF(O16&gt;0,O16,P16)*IF(R16&gt;0,R16,S16))))</f>
        <v>0</v>
      </c>
      <c r="Z16" s="314"/>
      <c r="AA16" s="314">
        <f>IF('1.Energy'!H16="Wood",Start!$Q$71,IF('1.Energy'!H16="Charcoal",Start!$Q$72,IF('1.Energy'!H16="Other",Start!$Q$73,0)))*K16*IF(AM16&gt;0,AM16/1000,IF('1.Energy'!H16="Wood",Start!$K$71/1000,IF('1.Energy'!H16="Charcoal",Start!$K$72/1000,IF('1.Energy'!H16="Other",Start!$K$73/1000,0))))*(1-(1-(IF(O16&gt;0,O16,P16)*IF(R16&gt;0,R16,S16))))</f>
        <v>0</v>
      </c>
      <c r="AB16" s="314"/>
      <c r="AC16" s="305">
        <f>U16+(W16*IF(Start!$G$61&gt;0,Start!$G$61,Start!$F$62))+(Y16*IF(Start!$G$63&gt;0,Start!$G$63,Start!$F$63))+(AA16*IF(Start!$G$64&gt;0,Start!$G$64,Start!$F$64))</f>
        <v>0</v>
      </c>
      <c r="AD16" s="305"/>
      <c r="AE16" s="3"/>
      <c r="AG16" s="9"/>
      <c r="AH16" s="74" t="str">
        <f>IF(AND(D16="Please select",H16="Please select"),"Please select",CONCATENATE(D16," [",H16,"]"))</f>
        <v>Please select</v>
      </c>
      <c r="AI16" s="13"/>
      <c r="AJ16" s="134">
        <v>0</v>
      </c>
      <c r="AK16" s="134">
        <v>0</v>
      </c>
      <c r="AL16" s="134">
        <v>0</v>
      </c>
      <c r="AM16" s="134">
        <v>0</v>
      </c>
      <c r="AN16" s="9"/>
    </row>
    <row r="17" spans="3:40" ht="17" customHeight="1" x14ac:dyDescent="0.2">
      <c r="C17" s="2"/>
      <c r="D17" s="318" t="s">
        <v>33</v>
      </c>
      <c r="E17" s="318"/>
      <c r="F17" s="318"/>
      <c r="G17" s="7"/>
      <c r="H17" s="318" t="s">
        <v>33</v>
      </c>
      <c r="I17" s="318"/>
      <c r="J17" s="7"/>
      <c r="K17" s="309">
        <v>0</v>
      </c>
      <c r="L17" s="309"/>
      <c r="M17" s="309"/>
      <c r="N17" s="2"/>
      <c r="O17" s="133"/>
      <c r="P17" s="16">
        <v>0.35</v>
      </c>
      <c r="Q17" s="3"/>
      <c r="R17" s="133"/>
      <c r="S17" s="16">
        <v>0.7</v>
      </c>
      <c r="T17" s="3"/>
      <c r="U17" s="314">
        <f>IF('1.Energy'!H17="Wood",Start!$Q$71,IF('1.Energy'!H17="Charcoal",Start!$Q$72,IF('1.Energy'!H17="Other",Start!$Q$73,0)))*K17*IF(AJ17&gt;0,AJ17/1000,IF('1.Energy'!H17="Wood",Start!$H$71/1000,IF('1.Energy'!H17="Charcoal",Start!$H$72/1000,IF('1.Energy'!H17="Other",Start!$H$73/1000,0))))*(1-(1-(IF(O17&gt;0,O17,P17)*IF(R17&gt;0,R17,S17))))</f>
        <v>0</v>
      </c>
      <c r="V17" s="314"/>
      <c r="W17" s="314">
        <f>IF('1.Energy'!H17="Wood",Start!$Q$71,IF('1.Energy'!H17="Charcoal",Start!$Q$72,IF('1.Energy'!H17="Other",Start!$Q$73,0)))*K17*IF(AK17&gt;0,AK17/1000,IF('1.Energy'!H17="Wood",Start!$I$71/1000,IF('1.Energy'!H17="Charcoal",Start!$I$72/1000,IF('1.Energy'!H17="Other",Start!$I$73/1000,0))))*(1-(1-(IF(O17&gt;0,O17,P17)*IF(R17&gt;0,R17,S17))))</f>
        <v>0</v>
      </c>
      <c r="X17" s="314"/>
      <c r="Y17" s="314">
        <f>IF('1.Energy'!H17="Wood",Start!$Q$71,IF('1.Energy'!H17="Charcoal",Start!$Q$72,IF('1.Energy'!H17="Other",Start!$Q$73,0)))*K17*IF(AL17&gt;0,AL17/1000,IF('1.Energy'!H17="Wood",Start!$J$71/1000,IF('1.Energy'!H17="Charcoal",Start!$J$72/1000,IF('1.Energy'!H17="Other",Start!$J$73/1000,0))))*(1-(1-(IF(O17&gt;0,O17,P17)*IF(R17&gt;0,R17,S17))))</f>
        <v>0</v>
      </c>
      <c r="Z17" s="314"/>
      <c r="AA17" s="314">
        <f>IF('1.Energy'!H17="Wood",Start!$Q$71,IF('1.Energy'!H17="Charcoal",Start!$Q$72,IF('1.Energy'!H17="Other",Start!$Q$73,0)))*K17*IF(AM17&gt;0,AM17/1000,IF('1.Energy'!H17="Wood",Start!$K$71/1000,IF('1.Energy'!H17="Charcoal",Start!$K$72/1000,IF('1.Energy'!H17="Other",Start!$K$73/1000,0))))*(1-(1-(IF(O17&gt;0,O17,P17)*IF(R17&gt;0,R17,S17))))</f>
        <v>0</v>
      </c>
      <c r="AB17" s="314"/>
      <c r="AC17" s="305">
        <f>U17+(W17*IF(Start!$G$61&gt;0,Start!$G$61,Start!$F$62))+(Y17*IF(Start!$G$63&gt;0,Start!$G$63,Start!$F$63))+(AA17*IF(Start!$G$64&gt;0,Start!$G$64,Start!$F$64))</f>
        <v>0</v>
      </c>
      <c r="AD17" s="305"/>
      <c r="AE17" s="3"/>
      <c r="AG17" s="9"/>
      <c r="AH17" s="74" t="str">
        <f t="shared" ref="AH17:AH21" si="0">IF(AND(D17="Please select",H17="Please select"),"Please select",CONCATENATE(D17," [",H17,"]"))</f>
        <v>Please select</v>
      </c>
      <c r="AI17" s="13"/>
      <c r="AJ17" s="134">
        <v>0</v>
      </c>
      <c r="AK17" s="134">
        <v>0</v>
      </c>
      <c r="AL17" s="134">
        <v>0</v>
      </c>
      <c r="AM17" s="134">
        <v>0</v>
      </c>
      <c r="AN17" s="9"/>
    </row>
    <row r="18" spans="3:40" ht="17" customHeight="1" x14ac:dyDescent="0.2">
      <c r="C18" s="2"/>
      <c r="D18" s="318" t="s">
        <v>33</v>
      </c>
      <c r="E18" s="318"/>
      <c r="F18" s="318"/>
      <c r="G18" s="7"/>
      <c r="H18" s="318" t="s">
        <v>33</v>
      </c>
      <c r="I18" s="318"/>
      <c r="J18" s="7"/>
      <c r="K18" s="309">
        <v>0</v>
      </c>
      <c r="L18" s="309"/>
      <c r="M18" s="309"/>
      <c r="N18" s="2"/>
      <c r="O18" s="133"/>
      <c r="P18" s="16">
        <v>0.35</v>
      </c>
      <c r="Q18" s="3"/>
      <c r="R18" s="133"/>
      <c r="S18" s="16">
        <v>0.7</v>
      </c>
      <c r="T18" s="3"/>
      <c r="U18" s="314">
        <f>IF('1.Energy'!H18="Wood",Start!$Q$71,IF('1.Energy'!H18="Charcoal",Start!$Q$72,IF('1.Energy'!H18="Other",Start!$Q$73,0)))*K18*IF(AJ18&gt;0,AJ18/1000,IF('1.Energy'!H18="Wood",Start!$H$71/1000,IF('1.Energy'!H18="Charcoal",Start!$H$72/1000,IF('1.Energy'!H18="Other",Start!$H$73/1000,0))))*(1-(1-(IF(O18&gt;0,O18,P18)*IF(R18&gt;0,R18,S18))))</f>
        <v>0</v>
      </c>
      <c r="V18" s="314"/>
      <c r="W18" s="314">
        <f>IF('1.Energy'!H18="Wood",Start!$Q$71,IF('1.Energy'!H18="Charcoal",Start!$Q$72,IF('1.Energy'!H18="Other",Start!$Q$73,0)))*K18*IF(AK18&gt;0,AK18/1000,IF('1.Energy'!H18="Wood",Start!$I$71/1000,IF('1.Energy'!H18="Charcoal",Start!$I$72/1000,IF('1.Energy'!H18="Other",Start!$I$73/1000,0))))*(1-(1-(IF(O18&gt;0,O18,P18)*IF(R18&gt;0,R18,S18))))</f>
        <v>0</v>
      </c>
      <c r="X18" s="314"/>
      <c r="Y18" s="314">
        <f>IF('1.Energy'!H18="Wood",Start!$Q$71,IF('1.Energy'!H18="Charcoal",Start!$Q$72,IF('1.Energy'!H18="Other",Start!$Q$73,0)))*K18*IF(AL18&gt;0,AL18/1000,IF('1.Energy'!H18="Wood",Start!$J$71/1000,IF('1.Energy'!H18="Charcoal",Start!$J$72/1000,IF('1.Energy'!H18="Other",Start!$J$73/1000,0))))*(1-(1-(IF(O18&gt;0,O18,P18)*IF(R18&gt;0,R18,S18))))</f>
        <v>0</v>
      </c>
      <c r="Z18" s="314"/>
      <c r="AA18" s="314">
        <f>IF('1.Energy'!H18="Wood",Start!$Q$71,IF('1.Energy'!H18="Charcoal",Start!$Q$72,IF('1.Energy'!H18="Other",Start!$Q$73,0)))*K18*IF(AM18&gt;0,AM18/1000,IF('1.Energy'!H18="Wood",Start!$K$71/1000,IF('1.Energy'!H18="Charcoal",Start!$K$72/1000,IF('1.Energy'!H18="Other",Start!$K$73/1000,0))))*(1-(1-(IF(O18&gt;0,O18,P18)*IF(R18&gt;0,R18,S18))))</f>
        <v>0</v>
      </c>
      <c r="AB18" s="314"/>
      <c r="AC18" s="305">
        <f>U18+(W18*IF(Start!$G$61&gt;0,Start!$G$61,Start!$F$62))+(Y18*IF(Start!$G$63&gt;0,Start!$G$63,Start!$F$63))+(AA18*IF(Start!$G$64&gt;0,Start!$G$64,Start!$F$64))</f>
        <v>0</v>
      </c>
      <c r="AD18" s="305"/>
      <c r="AE18" s="3"/>
      <c r="AG18" s="9"/>
      <c r="AH18" s="74" t="str">
        <f t="shared" si="0"/>
        <v>Please select</v>
      </c>
      <c r="AI18" s="13"/>
      <c r="AJ18" s="134">
        <v>0</v>
      </c>
      <c r="AK18" s="134">
        <v>0</v>
      </c>
      <c r="AL18" s="134">
        <v>0</v>
      </c>
      <c r="AM18" s="134">
        <v>0</v>
      </c>
      <c r="AN18" s="9"/>
    </row>
    <row r="19" spans="3:40" ht="17" customHeight="1" x14ac:dyDescent="0.2">
      <c r="C19" s="2"/>
      <c r="D19" s="318" t="s">
        <v>33</v>
      </c>
      <c r="E19" s="318"/>
      <c r="F19" s="318"/>
      <c r="G19" s="7"/>
      <c r="H19" s="318" t="s">
        <v>33</v>
      </c>
      <c r="I19" s="318"/>
      <c r="J19" s="7"/>
      <c r="K19" s="309">
        <v>0</v>
      </c>
      <c r="L19" s="309"/>
      <c r="M19" s="309"/>
      <c r="N19" s="2"/>
      <c r="O19" s="133"/>
      <c r="P19" s="16">
        <v>0.35</v>
      </c>
      <c r="Q19" s="3"/>
      <c r="R19" s="133"/>
      <c r="S19" s="16">
        <v>0.7</v>
      </c>
      <c r="T19" s="3"/>
      <c r="U19" s="314">
        <f>IF('1.Energy'!H19="Wood",Start!$Q$71,IF('1.Energy'!H19="Charcoal",Start!$Q$72,IF('1.Energy'!H19="Other",Start!$Q$73,0)))*K19*IF(AJ19&gt;0,AJ19/1000,IF('1.Energy'!H19="Wood",Start!$H$71/1000,IF('1.Energy'!H19="Charcoal",Start!$H$72/1000,IF('1.Energy'!H19="Other",Start!$H$73/1000,0))))*(1-(1-(IF(O19&gt;0,O19,P19)*IF(R19&gt;0,R19,S19))))</f>
        <v>0</v>
      </c>
      <c r="V19" s="314"/>
      <c r="W19" s="314">
        <f>IF('1.Energy'!H19="Wood",Start!$Q$71,IF('1.Energy'!H19="Charcoal",Start!$Q$72,IF('1.Energy'!H19="Other",Start!$Q$73,0)))*K19*IF(AK19&gt;0,AK19/1000,IF('1.Energy'!H19="Wood",Start!$I$71/1000,IF('1.Energy'!H19="Charcoal",Start!$I$72/1000,IF('1.Energy'!H19="Other",Start!$I$73/1000,0))))*(1-(1-(IF(O19&gt;0,O19,P19)*IF(R19&gt;0,R19,S19))))</f>
        <v>0</v>
      </c>
      <c r="X19" s="314"/>
      <c r="Y19" s="314">
        <f>IF('1.Energy'!H19="Wood",Start!$Q$71,IF('1.Energy'!H19="Charcoal",Start!$Q$72,IF('1.Energy'!H19="Other",Start!$Q$73,0)))*K19*IF(AL19&gt;0,AL19/1000,IF('1.Energy'!H19="Wood",Start!$J$71/1000,IF('1.Energy'!H19="Charcoal",Start!$J$72/1000,IF('1.Energy'!H19="Other",Start!$J$73/1000,0))))*(1-(1-(IF(O19&gt;0,O19,P19)*IF(R19&gt;0,R19,S19))))</f>
        <v>0</v>
      </c>
      <c r="Z19" s="314"/>
      <c r="AA19" s="314">
        <f>IF('1.Energy'!H19="Wood",Start!$Q$71,IF('1.Energy'!H19="Charcoal",Start!$Q$72,IF('1.Energy'!H19="Other",Start!$Q$73,0)))*K19*IF(AM19&gt;0,AM19/1000,IF('1.Energy'!H19="Wood",Start!$K$71/1000,IF('1.Energy'!H19="Charcoal",Start!$K$72/1000,IF('1.Energy'!H19="Other",Start!$K$73/1000,0))))*(1-(1-(IF(O19&gt;0,O19,P19)*IF(R19&gt;0,R19,S19))))</f>
        <v>0</v>
      </c>
      <c r="AB19" s="314"/>
      <c r="AC19" s="305">
        <f>U19+(W19*IF(Start!$G$61&gt;0,Start!$G$61,Start!$F$62))+(Y19*IF(Start!$G$63&gt;0,Start!$G$63,Start!$F$63))+(AA19*IF(Start!$G$64&gt;0,Start!$G$64,Start!$F$64))</f>
        <v>0</v>
      </c>
      <c r="AD19" s="305"/>
      <c r="AE19" s="3"/>
      <c r="AG19" s="9"/>
      <c r="AH19" s="74" t="str">
        <f t="shared" si="0"/>
        <v>Please select</v>
      </c>
      <c r="AI19" s="13"/>
      <c r="AJ19" s="134">
        <v>0</v>
      </c>
      <c r="AK19" s="134">
        <v>0</v>
      </c>
      <c r="AL19" s="134">
        <v>0</v>
      </c>
      <c r="AM19" s="134">
        <v>0</v>
      </c>
      <c r="AN19" s="9"/>
    </row>
    <row r="20" spans="3:40" ht="17" customHeight="1" x14ac:dyDescent="0.2">
      <c r="C20" s="2"/>
      <c r="D20" s="318" t="s">
        <v>33</v>
      </c>
      <c r="E20" s="318"/>
      <c r="F20" s="318"/>
      <c r="G20" s="7"/>
      <c r="H20" s="318" t="s">
        <v>33</v>
      </c>
      <c r="I20" s="318"/>
      <c r="J20" s="7"/>
      <c r="K20" s="309">
        <v>0</v>
      </c>
      <c r="L20" s="309"/>
      <c r="M20" s="309"/>
      <c r="N20" s="2"/>
      <c r="O20" s="133"/>
      <c r="P20" s="16">
        <v>0.35</v>
      </c>
      <c r="Q20" s="3"/>
      <c r="R20" s="133"/>
      <c r="S20" s="16">
        <v>0.7</v>
      </c>
      <c r="T20" s="3"/>
      <c r="U20" s="314">
        <f>IF('1.Energy'!H20="Wood",Start!$Q$71,IF('1.Energy'!H20="Charcoal",Start!$Q$72,IF('1.Energy'!H20="Other",Start!$Q$73,0)))*K20*IF(AJ20&gt;0,AJ20/1000,IF('1.Energy'!H20="Wood",Start!$H$71/1000,IF('1.Energy'!H20="Charcoal",Start!$H$72/1000,IF('1.Energy'!H20="Other",Start!$H$73/1000,0))))*(1-(1-(IF(O20&gt;0,O20,P20)*IF(R20&gt;0,R20,S20))))</f>
        <v>0</v>
      </c>
      <c r="V20" s="314"/>
      <c r="W20" s="314">
        <f>IF('1.Energy'!H20="Wood",Start!$Q$71,IF('1.Energy'!H20="Charcoal",Start!$Q$72,IF('1.Energy'!H20="Other",Start!$Q$73,0)))*K20*IF(AK20&gt;0,AK20/1000,IF('1.Energy'!H20="Wood",Start!$I$71/1000,IF('1.Energy'!H20="Charcoal",Start!$I$72/1000,IF('1.Energy'!H20="Other",Start!$I$73/1000,0))))*(1-(1-(IF(O20&gt;0,O20,P20)*IF(R20&gt;0,R20,S20))))</f>
        <v>0</v>
      </c>
      <c r="X20" s="314"/>
      <c r="Y20" s="314">
        <f>IF('1.Energy'!H20="Wood",Start!$Q$71,IF('1.Energy'!H20="Charcoal",Start!$Q$72,IF('1.Energy'!H20="Other",Start!$Q$73,0)))*K20*IF(AL20&gt;0,AL20/1000,IF('1.Energy'!H20="Wood",Start!$J$71/1000,IF('1.Energy'!H20="Charcoal",Start!$J$72/1000,IF('1.Energy'!H20="Other",Start!$J$73/1000,0))))*(1-(1-(IF(O20&gt;0,O20,P20)*IF(R20&gt;0,R20,S20))))</f>
        <v>0</v>
      </c>
      <c r="Z20" s="314"/>
      <c r="AA20" s="314">
        <f>IF('1.Energy'!H20="Wood",Start!$Q$71,IF('1.Energy'!H20="Charcoal",Start!$Q$72,IF('1.Energy'!H20="Other",Start!$Q$73,0)))*K20*IF(AM20&gt;0,AM20/1000,IF('1.Energy'!H20="Wood",Start!$K$71/1000,IF('1.Energy'!H20="Charcoal",Start!$K$72/1000,IF('1.Energy'!H20="Other",Start!$K$73/1000,0))))*(1-(1-(IF(O20&gt;0,O20,P20)*IF(R20&gt;0,R20,S20))))</f>
        <v>0</v>
      </c>
      <c r="AB20" s="314"/>
      <c r="AC20" s="305">
        <f>U20+(W20*IF(Start!$G$61&gt;0,Start!$G$61,Start!$F$62))+(Y20*IF(Start!$G$63&gt;0,Start!$G$63,Start!$F$63))+(AA20*IF(Start!$G$64&gt;0,Start!$G$64,Start!$F$64))</f>
        <v>0</v>
      </c>
      <c r="AD20" s="305"/>
      <c r="AE20" s="3"/>
      <c r="AG20" s="9"/>
      <c r="AH20" s="74" t="str">
        <f t="shared" si="0"/>
        <v>Please select</v>
      </c>
      <c r="AI20" s="13"/>
      <c r="AJ20" s="134">
        <v>0</v>
      </c>
      <c r="AK20" s="134">
        <v>0</v>
      </c>
      <c r="AL20" s="134">
        <v>0</v>
      </c>
      <c r="AM20" s="134">
        <v>0</v>
      </c>
      <c r="AN20" s="9"/>
    </row>
    <row r="21" spans="3:40" ht="17" customHeight="1" x14ac:dyDescent="0.2">
      <c r="C21" s="2"/>
      <c r="D21" s="318" t="s">
        <v>33</v>
      </c>
      <c r="E21" s="318"/>
      <c r="F21" s="318"/>
      <c r="G21" s="7"/>
      <c r="H21" s="318" t="s">
        <v>33</v>
      </c>
      <c r="I21" s="318"/>
      <c r="J21" s="7"/>
      <c r="K21" s="309">
        <v>0</v>
      </c>
      <c r="L21" s="309"/>
      <c r="M21" s="309"/>
      <c r="N21" s="2"/>
      <c r="O21" s="133"/>
      <c r="P21" s="16">
        <v>0.35</v>
      </c>
      <c r="Q21" s="3"/>
      <c r="R21" s="133"/>
      <c r="S21" s="16">
        <v>0.7</v>
      </c>
      <c r="T21" s="3"/>
      <c r="U21" s="314">
        <f>IF('1.Energy'!H21="Wood",Start!$Q$71,IF('1.Energy'!H21="Charcoal",Start!$Q$72,IF('1.Energy'!H21="Other",Start!$Q$73,0)))*K21*IF(AJ21&gt;0,AJ21/1000,IF('1.Energy'!H21="Wood",Start!$H$71/1000,IF('1.Energy'!H21="Charcoal",Start!$H$72/1000,IF('1.Energy'!H21="Other",Start!$H$73/1000,0))))*(1-(1-(IF(O21&gt;0,O21,P21)*IF(R21&gt;0,R21,S21))))</f>
        <v>0</v>
      </c>
      <c r="V21" s="314"/>
      <c r="W21" s="314">
        <f>IF('1.Energy'!H21="Wood",Start!$Q$71,IF('1.Energy'!H21="Charcoal",Start!$Q$72,IF('1.Energy'!H21="Other",Start!$Q$73,0)))*K21*IF(AK21&gt;0,AK21/1000,IF('1.Energy'!H21="Wood",Start!$I$71/1000,IF('1.Energy'!H21="Charcoal",Start!$I$72/1000,IF('1.Energy'!H21="Other",Start!$I$73/1000,0))))*(1-(1-(IF(O21&gt;0,O21,P21)*IF(R21&gt;0,R21,S21))))</f>
        <v>0</v>
      </c>
      <c r="X21" s="314"/>
      <c r="Y21" s="314">
        <f>IF('1.Energy'!H21="Wood",Start!$Q$71,IF('1.Energy'!H21="Charcoal",Start!$Q$72,IF('1.Energy'!H21="Other",Start!$Q$73,0)))*K21*IF(AL21&gt;0,AL21/1000,IF('1.Energy'!H21="Wood",Start!$J$71/1000,IF('1.Energy'!H21="Charcoal",Start!$J$72/1000,IF('1.Energy'!H21="Other",Start!$J$73/1000,0))))*(1-(1-(IF(O21&gt;0,O21,P21)*IF(R21&gt;0,R21,S21))))</f>
        <v>0</v>
      </c>
      <c r="Z21" s="314"/>
      <c r="AA21" s="314">
        <f>IF('1.Energy'!H21="Wood",Start!$Q$71,IF('1.Energy'!H21="Charcoal",Start!$Q$72,IF('1.Energy'!H21="Other",Start!$Q$73,0)))*K21*IF(AM21&gt;0,AM21/1000,IF('1.Energy'!H21="Wood",Start!$K$71/1000,IF('1.Energy'!H21="Charcoal",Start!$K$72/1000,IF('1.Energy'!H21="Other",Start!$K$73/1000,0))))*(1-(1-(IF(O21&gt;0,O21,P21)*IF(R21&gt;0,R21,S21))))</f>
        <v>0</v>
      </c>
      <c r="AB21" s="314"/>
      <c r="AC21" s="311">
        <f>U21+(W21*IF(Start!$G$61&gt;0,Start!$G$61,Start!$F$62))+(Y21*IF(Start!$G$63&gt;0,Start!$G$63,Start!$F$63))+(AA21*IF(Start!$G$64&gt;0,Start!$G$64,Start!$F$64))</f>
        <v>0</v>
      </c>
      <c r="AD21" s="311"/>
      <c r="AE21" s="3"/>
      <c r="AG21" s="9"/>
      <c r="AH21" s="74" t="str">
        <f t="shared" si="0"/>
        <v>Please select</v>
      </c>
      <c r="AI21" s="13"/>
      <c r="AJ21" s="134">
        <v>0</v>
      </c>
      <c r="AK21" s="134">
        <v>0</v>
      </c>
      <c r="AL21" s="134">
        <v>0</v>
      </c>
      <c r="AM21" s="134">
        <v>0</v>
      </c>
      <c r="AN21" s="9"/>
    </row>
    <row r="22" spans="3:40" x14ac:dyDescent="0.2">
      <c r="C22" s="2"/>
      <c r="D22" s="5"/>
      <c r="E22" s="6"/>
      <c r="F22" s="6"/>
      <c r="G22" s="7"/>
      <c r="H22" s="7"/>
      <c r="I22" s="7"/>
      <c r="J22" s="7"/>
      <c r="K22" s="7"/>
      <c r="L22" s="2"/>
      <c r="M22" s="2"/>
      <c r="N22" s="2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06">
        <f>SUM(AC16:AD21)</f>
        <v>0</v>
      </c>
      <c r="AD22" s="307"/>
      <c r="AE22" s="3"/>
      <c r="AG22" s="9"/>
      <c r="AH22" s="9"/>
      <c r="AI22" s="9"/>
      <c r="AJ22" s="9"/>
      <c r="AK22" s="9"/>
      <c r="AL22" s="9"/>
      <c r="AM22" s="9"/>
      <c r="AN22" s="9"/>
    </row>
    <row r="23" spans="3:40" x14ac:dyDescent="0.2">
      <c r="C23" s="2"/>
      <c r="D23" s="75" t="s">
        <v>213</v>
      </c>
      <c r="E23" s="6"/>
      <c r="F23" s="6"/>
      <c r="G23" s="7"/>
      <c r="H23" s="7"/>
      <c r="I23" s="7"/>
      <c r="J23" s="7"/>
      <c r="K23" s="7"/>
      <c r="L23" s="2"/>
      <c r="M23" s="2"/>
      <c r="N23" s="2"/>
      <c r="O23" s="3"/>
      <c r="P23" s="3"/>
      <c r="Q23" s="3"/>
      <c r="R23" s="3"/>
      <c r="S23" s="3"/>
      <c r="T23" s="3"/>
      <c r="U23" s="3"/>
      <c r="V23" s="75" t="s">
        <v>101</v>
      </c>
      <c r="W23" s="3"/>
      <c r="X23" s="3"/>
      <c r="Y23" s="3"/>
      <c r="Z23" s="3"/>
      <c r="AA23" s="3"/>
      <c r="AB23" s="3"/>
      <c r="AC23" s="308"/>
      <c r="AD23" s="308"/>
      <c r="AE23" s="3"/>
      <c r="AG23" s="9"/>
      <c r="AH23" s="75" t="s">
        <v>102</v>
      </c>
      <c r="AI23" s="9"/>
      <c r="AJ23" s="9"/>
      <c r="AK23" s="9"/>
      <c r="AL23" s="9"/>
      <c r="AM23" s="9"/>
      <c r="AN23" s="9"/>
    </row>
    <row r="24" spans="3:40" x14ac:dyDescent="0.2">
      <c r="C24" s="2"/>
      <c r="D24" s="75" t="s">
        <v>214</v>
      </c>
      <c r="E24" s="6"/>
      <c r="F24" s="6"/>
      <c r="G24" s="7"/>
      <c r="H24" s="7"/>
      <c r="I24" s="7"/>
      <c r="J24" s="7"/>
      <c r="K24" s="7"/>
      <c r="L24" s="2"/>
      <c r="M24" s="2"/>
      <c r="N24" s="2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G24" s="9"/>
      <c r="AH24" s="9"/>
      <c r="AI24" s="9"/>
      <c r="AJ24" s="9"/>
      <c r="AK24" s="9"/>
      <c r="AL24" s="9"/>
      <c r="AM24" s="9"/>
      <c r="AN24" s="9"/>
    </row>
    <row r="29" spans="3:40" ht="30" customHeight="1" x14ac:dyDescent="0.2">
      <c r="C29" s="78" t="s">
        <v>120</v>
      </c>
      <c r="D29" s="4" t="s">
        <v>121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3:40" ht="7.25" customHeight="1" x14ac:dyDescent="0.2">
      <c r="D30" s="92"/>
    </row>
    <row r="31" spans="3:40" ht="14.5" customHeight="1" x14ac:dyDescent="0.2">
      <c r="C31" s="2"/>
      <c r="D31" s="2"/>
      <c r="E31" s="2"/>
      <c r="F31" s="2"/>
      <c r="G31" s="2"/>
      <c r="H31" s="2"/>
      <c r="I31" s="2"/>
      <c r="J31" s="2"/>
      <c r="K31" s="312" t="s">
        <v>400</v>
      </c>
      <c r="L31" s="312"/>
      <c r="M31" s="312"/>
      <c r="N31" s="2"/>
      <c r="O31" s="316" t="s">
        <v>118</v>
      </c>
      <c r="P31" s="316"/>
      <c r="Q31" s="316"/>
      <c r="R31" s="316"/>
      <c r="S31" s="316"/>
      <c r="T31" s="3"/>
      <c r="U31" s="310" t="s">
        <v>103</v>
      </c>
      <c r="V31" s="310"/>
      <c r="W31" s="310"/>
      <c r="X31" s="310"/>
      <c r="Y31" s="310"/>
      <c r="Z31" s="3"/>
      <c r="AA31" s="3"/>
      <c r="AB31" s="3"/>
      <c r="AC31" s="3"/>
    </row>
    <row r="32" spans="3:40" ht="14.5" customHeight="1" x14ac:dyDescent="0.2">
      <c r="C32" s="2"/>
      <c r="D32" s="312" t="s">
        <v>105</v>
      </c>
      <c r="E32" s="312"/>
      <c r="F32" s="312"/>
      <c r="G32" s="2"/>
      <c r="H32" s="312" t="s">
        <v>109</v>
      </c>
      <c r="I32" s="312"/>
      <c r="J32" s="2"/>
      <c r="K32" s="312"/>
      <c r="L32" s="312"/>
      <c r="M32" s="312"/>
      <c r="N32" s="2"/>
      <c r="O32" s="321" t="s">
        <v>18</v>
      </c>
      <c r="P32" s="321"/>
      <c r="Q32" s="3"/>
      <c r="R32" s="319" t="s">
        <v>19</v>
      </c>
      <c r="S32" s="319"/>
      <c r="T32" s="3"/>
      <c r="U32" s="316"/>
      <c r="V32" s="316"/>
      <c r="W32" s="316"/>
      <c r="X32" s="316"/>
      <c r="Y32" s="316"/>
      <c r="Z32" s="310" t="s">
        <v>77</v>
      </c>
      <c r="AA32" s="310"/>
      <c r="AB32" s="310"/>
      <c r="AC32" s="3"/>
    </row>
    <row r="33" spans="3:40" ht="30" x14ac:dyDescent="0.2">
      <c r="C33" s="2"/>
      <c r="D33" s="312"/>
      <c r="E33" s="312"/>
      <c r="F33" s="312"/>
      <c r="G33" s="12"/>
      <c r="H33" s="312"/>
      <c r="I33" s="312"/>
      <c r="J33" s="12"/>
      <c r="K33" s="312"/>
      <c r="L33" s="312"/>
      <c r="M33" s="312"/>
      <c r="N33" s="2"/>
      <c r="O33" s="14" t="s">
        <v>90</v>
      </c>
      <c r="P33" s="14" t="s">
        <v>51</v>
      </c>
      <c r="Q33" s="3"/>
      <c r="R33" s="14" t="s">
        <v>90</v>
      </c>
      <c r="S33" s="14" t="s">
        <v>51</v>
      </c>
      <c r="T33" s="3"/>
      <c r="U33" s="313" t="s">
        <v>18</v>
      </c>
      <c r="V33" s="313"/>
      <c r="W33" s="313" t="s">
        <v>19</v>
      </c>
      <c r="X33" s="313"/>
      <c r="Y33" s="313"/>
      <c r="Z33" s="310"/>
      <c r="AA33" s="310"/>
      <c r="AB33" s="310"/>
      <c r="AC33" s="3"/>
    </row>
    <row r="34" spans="3:40" x14ac:dyDescent="0.2">
      <c r="C34" s="2"/>
      <c r="D34" s="318" t="s">
        <v>33</v>
      </c>
      <c r="E34" s="318"/>
      <c r="F34" s="318"/>
      <c r="G34" s="7"/>
      <c r="H34" s="318" t="s">
        <v>33</v>
      </c>
      <c r="I34" s="318"/>
      <c r="J34" s="7"/>
      <c r="K34" s="309">
        <v>0</v>
      </c>
      <c r="L34" s="309"/>
      <c r="M34" s="309"/>
      <c r="N34" s="2"/>
      <c r="O34" s="135"/>
      <c r="P34" s="76">
        <f>IF(OR(D34="Please select",H34="Please select"),0,IF(D34=Sheet4!$G$8,0,IF(H34=Sheet5!$B$47,Sheet5!$C$47,IF(H34=Sheet5!$B$48,Sheet5!$C$48,IF(H34=Sheet5!$B$49,Sheet5!$C$49,IF(H34=Sheet5!$B$50,Sheet5!$C$50,0))))))</f>
        <v>0</v>
      </c>
      <c r="Q34" s="3"/>
      <c r="R34" s="135"/>
      <c r="S34" s="77">
        <f>IF(OR(D34="Please select",H34="Please select"),0,IF(D34=Sheet4!$G$8,0,IF(H34=Sheet5!$B$47,Sheet5!$D$47,IF(H34=Sheet5!$B$48,Sheet5!$D$48,IF(H34=Sheet5!$B$49,Sheet5!$D$49,IF(H34=Sheet5!$B$50,Sheet5!$D$50,0))))))</f>
        <v>0</v>
      </c>
      <c r="T34" s="3"/>
      <c r="U34" s="314">
        <f>IF(AND(D34&lt;&gt;Sheet4!$G$8,P34=0),0,((Start!$H$79*'1.Energy'!K34*1000)-(IF(O34&gt;0,O34,'1.Energy'!P34)*'1.Energy'!K34*1000))/1000000)</f>
        <v>0</v>
      </c>
      <c r="V34" s="314"/>
      <c r="W34" s="314">
        <f>IF(AND(D34&lt;&gt;Sheet4!$G$8,S34=0),0,((Start!$I$79*'1.Energy'!K34*1000)-(IF(R34&gt;0,R34,'1.Energy'!S34)*'1.Energy'!K34*1000))/1000000)</f>
        <v>0</v>
      </c>
      <c r="X34" s="314"/>
      <c r="Y34" s="314"/>
      <c r="Z34" s="305">
        <f>U34+(W34*IF(Start!$G$62&gt;0,Start!$G$62,Start!$F$62))</f>
        <v>0</v>
      </c>
      <c r="AA34" s="305"/>
      <c r="AB34" s="305"/>
      <c r="AC34" s="3"/>
    </row>
    <row r="35" spans="3:40" ht="15.5" customHeight="1" x14ac:dyDescent="0.2">
      <c r="C35" s="2"/>
      <c r="D35" s="318" t="s">
        <v>33</v>
      </c>
      <c r="E35" s="318"/>
      <c r="F35" s="318"/>
      <c r="G35" s="7"/>
      <c r="H35" s="318" t="s">
        <v>33</v>
      </c>
      <c r="I35" s="318"/>
      <c r="J35" s="7"/>
      <c r="K35" s="309">
        <v>0</v>
      </c>
      <c r="L35" s="309"/>
      <c r="M35" s="309"/>
      <c r="N35" s="2"/>
      <c r="O35" s="135"/>
      <c r="P35" s="76">
        <f>IF(OR(D35="Please select",H35="Please select"),0,IF(D35=Sheet4!$G$8,0,IF(H35=Sheet5!$B$47,Sheet5!$C$47,IF(H35=Sheet5!$B$48,Sheet5!$C$48,IF(H35=Sheet5!$B$49,Sheet5!$C$49,IF(H35=Sheet5!$B$50,Sheet5!$C$50,0))))))</f>
        <v>0</v>
      </c>
      <c r="Q35" s="3"/>
      <c r="R35" s="135"/>
      <c r="S35" s="77">
        <f>IF(OR(D35="Please select",H35="Please select"),0,IF(D35=Sheet4!$G$8,0,IF(H35=Sheet5!$B$47,Sheet5!$D$47,IF(H35=Sheet5!$B$48,Sheet5!$D$48,IF(H35=Sheet5!$B$49,Sheet5!$D$49,IF(H35=Sheet5!$B$50,Sheet5!$D$50,0))))))</f>
        <v>0</v>
      </c>
      <c r="T35" s="3"/>
      <c r="U35" s="314">
        <f>IF(AND(D35&lt;&gt;Sheet4!$G$8,P35=0),0,((Start!$H$79*'1.Energy'!K35*1000)-('1.Energy'!P35*'1.Energy'!K35*1000))/1000000)</f>
        <v>0</v>
      </c>
      <c r="V35" s="314"/>
      <c r="W35" s="314">
        <f>IF(AND(D35&lt;&gt;Sheet4!$G$8,S35=0),0,((Start!$I$79*'1.Energy'!K35*1000)-(IF(R35&gt;0,R35,'1.Energy'!S35)*'1.Energy'!K35*1000))/1000000)</f>
        <v>0</v>
      </c>
      <c r="X35" s="314"/>
      <c r="Y35" s="314"/>
      <c r="Z35" s="305">
        <f>U35+(W35*IF(Start!$G$62&gt;0,Start!$G$62,Start!$F$62))</f>
        <v>0</v>
      </c>
      <c r="AA35" s="305"/>
      <c r="AB35" s="305"/>
      <c r="AC35" s="3"/>
    </row>
    <row r="36" spans="3:40" ht="15.5" customHeight="1" x14ac:dyDescent="0.2">
      <c r="C36" s="2"/>
      <c r="D36" s="318" t="s">
        <v>33</v>
      </c>
      <c r="E36" s="318"/>
      <c r="F36" s="318"/>
      <c r="G36" s="7"/>
      <c r="H36" s="318" t="s">
        <v>33</v>
      </c>
      <c r="I36" s="318"/>
      <c r="J36" s="7"/>
      <c r="K36" s="309">
        <v>0</v>
      </c>
      <c r="L36" s="309"/>
      <c r="M36" s="309"/>
      <c r="N36" s="2"/>
      <c r="O36" s="135"/>
      <c r="P36" s="76">
        <f>IF(OR(D36="Please select",H36="Please select"),0,IF(D36=Sheet4!$G$8,0,IF(H36=Sheet5!$B$47,Sheet5!$C$47,IF(H36=Sheet5!$B$48,Sheet5!$C$48,IF(H36=Sheet5!$B$49,Sheet5!$C$49,IF(H36=Sheet5!$B$50,Sheet5!$C$50,0))))))</f>
        <v>0</v>
      </c>
      <c r="Q36" s="3"/>
      <c r="R36" s="135"/>
      <c r="S36" s="77">
        <f>IF(OR(D36="Please select",H36="Please select"),0,IF(D36=Sheet4!$G$8,0,IF(H36=Sheet5!$B$47,Sheet5!$D$47,IF(H36=Sheet5!$B$48,Sheet5!$D$48,IF(H36=Sheet5!$B$49,Sheet5!$D$49,IF(H36=Sheet5!$B$50,Sheet5!$D$50,0))))))</f>
        <v>0</v>
      </c>
      <c r="T36" s="3"/>
      <c r="U36" s="314">
        <f>IF(AND(D36&lt;&gt;Sheet4!$G$8,P36=0),0,((Start!$H$79*'1.Energy'!K36*1000)-('1.Energy'!P36*'1.Energy'!K36*1000))/1000000)</f>
        <v>0</v>
      </c>
      <c r="V36" s="314"/>
      <c r="W36" s="314">
        <f>IF(AND(D36&lt;&gt;Sheet4!$G$8,S36=0),0,((Start!$I$79*'1.Energy'!K36*1000)-(IF(R36&gt;0,R36,'1.Energy'!S36)*'1.Energy'!K36*1000))/1000000)</f>
        <v>0</v>
      </c>
      <c r="X36" s="314"/>
      <c r="Y36" s="314"/>
      <c r="Z36" s="305">
        <f>U36+(W36*IF(Start!$G$62&gt;0,Start!$G$62,Start!$F$62))</f>
        <v>0</v>
      </c>
      <c r="AA36" s="305"/>
      <c r="AB36" s="305"/>
      <c r="AC36" s="3"/>
    </row>
    <row r="37" spans="3:40" ht="15.5" customHeight="1" x14ac:dyDescent="0.2">
      <c r="C37" s="2"/>
      <c r="D37" s="318" t="s">
        <v>33</v>
      </c>
      <c r="E37" s="318"/>
      <c r="F37" s="318"/>
      <c r="G37" s="7"/>
      <c r="H37" s="318" t="s">
        <v>33</v>
      </c>
      <c r="I37" s="318"/>
      <c r="J37" s="7"/>
      <c r="K37" s="309">
        <v>0</v>
      </c>
      <c r="L37" s="309"/>
      <c r="M37" s="309"/>
      <c r="N37" s="2"/>
      <c r="O37" s="135"/>
      <c r="P37" s="76">
        <f>IF(OR(D37="Please select",H37="Please select"),0,IF(D37=Sheet4!$G$8,0,IF(H37=Sheet5!$B$47,Sheet5!$C$47,IF(H37=Sheet5!$B$48,Sheet5!$C$48,IF(H37=Sheet5!$B$49,Sheet5!$C$49,IF(H37=Sheet5!$B$50,Sheet5!$C$50,0))))))</f>
        <v>0</v>
      </c>
      <c r="Q37" s="3"/>
      <c r="R37" s="135"/>
      <c r="S37" s="77">
        <f>IF(OR(D37="Please select",H37="Please select"),0,IF(D37=Sheet4!$G$8,0,IF(H37=Sheet5!$B$47,Sheet5!$D$47,IF(H37=Sheet5!$B$48,Sheet5!$D$48,IF(H37=Sheet5!$B$49,Sheet5!$D$49,IF(H37=Sheet5!$B$50,Sheet5!$D$50,0))))))</f>
        <v>0</v>
      </c>
      <c r="T37" s="3"/>
      <c r="U37" s="314">
        <f>IF(AND(D37&lt;&gt;Sheet4!$G$8,P37=0),0,((Start!$H$79*'1.Energy'!K37*1000)-('1.Energy'!P37*'1.Energy'!K37*1000))/1000000)</f>
        <v>0</v>
      </c>
      <c r="V37" s="314"/>
      <c r="W37" s="314">
        <f>IF(AND(D37&lt;&gt;Sheet4!$G$8,S37=0),0,((Start!$I$79*'1.Energy'!K37*1000)-(IF(R37&gt;0,R37,'1.Energy'!S37)*'1.Energy'!K37*1000))/1000000)</f>
        <v>0</v>
      </c>
      <c r="X37" s="314"/>
      <c r="Y37" s="314"/>
      <c r="Z37" s="305">
        <f>U37+(W37*IF(Start!$G$62&gt;0,Start!$G$62,Start!$F$62))</f>
        <v>0</v>
      </c>
      <c r="AA37" s="305"/>
      <c r="AB37" s="305"/>
      <c r="AC37" s="3"/>
    </row>
    <row r="38" spans="3:40" ht="15.5" customHeight="1" x14ac:dyDescent="0.2">
      <c r="C38" s="2"/>
      <c r="D38" s="318" t="s">
        <v>33</v>
      </c>
      <c r="E38" s="318"/>
      <c r="F38" s="318"/>
      <c r="G38" s="7"/>
      <c r="H38" s="318" t="s">
        <v>33</v>
      </c>
      <c r="I38" s="318"/>
      <c r="J38" s="7"/>
      <c r="K38" s="309">
        <v>0</v>
      </c>
      <c r="L38" s="309"/>
      <c r="M38" s="309"/>
      <c r="N38" s="2"/>
      <c r="O38" s="135"/>
      <c r="P38" s="76">
        <f>IF(OR(D38="Please select",H38="Please select"),0,IF(D38=Sheet4!$G$8,0,IF(H38=Sheet5!$B$47,Sheet5!$C$47,IF(H38=Sheet5!$B$48,Sheet5!$C$48,IF(H38=Sheet5!$B$49,Sheet5!$C$49,IF(H38=Sheet5!$B$50,Sheet5!$C$50,0))))))</f>
        <v>0</v>
      </c>
      <c r="Q38" s="3"/>
      <c r="R38" s="135"/>
      <c r="S38" s="77">
        <f>IF(OR(D38="Please select",H38="Please select"),0,IF(D38=Sheet4!$G$8,0,IF(H38=Sheet5!$B$47,Sheet5!$D$47,IF(H38=Sheet5!$B$48,Sheet5!$D$48,IF(H38=Sheet5!$B$49,Sheet5!$D$49,IF(H38=Sheet5!$B$50,Sheet5!$D$50,0))))))</f>
        <v>0</v>
      </c>
      <c r="T38" s="3"/>
      <c r="U38" s="314">
        <f>IF(AND(D38&lt;&gt;Sheet4!$G$8,P38=0),0,((Start!$H$79*'1.Energy'!K38*1000)-('1.Energy'!P38*'1.Energy'!K38*1000))/1000000)</f>
        <v>0</v>
      </c>
      <c r="V38" s="314"/>
      <c r="W38" s="314">
        <f>IF(AND(D38&lt;&gt;Sheet4!$G$8,S38=0),0,((Start!$I$79*'1.Energy'!K38*1000)-(IF(R38&gt;0,R38,'1.Energy'!S38)*'1.Energy'!K38*1000))/1000000)</f>
        <v>0</v>
      </c>
      <c r="X38" s="314"/>
      <c r="Y38" s="314"/>
      <c r="Z38" s="305">
        <f>U38+(W38*IF(Start!$G$62&gt;0,Start!$G$62,Start!$F$62))</f>
        <v>0</v>
      </c>
      <c r="AA38" s="305"/>
      <c r="AB38" s="305"/>
      <c r="AC38" s="3"/>
    </row>
    <row r="39" spans="3:40" ht="15.5" customHeight="1" x14ac:dyDescent="0.2">
      <c r="C39" s="2"/>
      <c r="D39" s="318" t="s">
        <v>33</v>
      </c>
      <c r="E39" s="318"/>
      <c r="F39" s="318"/>
      <c r="G39" s="7"/>
      <c r="H39" s="318" t="s">
        <v>33</v>
      </c>
      <c r="I39" s="318"/>
      <c r="J39" s="7"/>
      <c r="K39" s="309">
        <v>0</v>
      </c>
      <c r="L39" s="309"/>
      <c r="M39" s="309"/>
      <c r="N39" s="2"/>
      <c r="O39" s="135"/>
      <c r="P39" s="76">
        <f>IF(OR(D39="Please select",H39="Please select"),0,IF(D39=Sheet4!$G$8,0,IF(H39=Sheet5!$B$47,Sheet5!$C$47,IF(H39=Sheet5!$B$48,Sheet5!$C$48,IF(H39=Sheet5!$B$49,Sheet5!$C$49,IF(H39=Sheet5!$B$50,Sheet5!$C$50,0))))))</f>
        <v>0</v>
      </c>
      <c r="Q39" s="3"/>
      <c r="R39" s="135"/>
      <c r="S39" s="77">
        <f>IF(OR(D39="Please select",H39="Please select"),0,IF(D39=Sheet4!$G$8,0,IF(H39=Sheet5!$B$47,Sheet5!$D$47,IF(H39=Sheet5!$B$48,Sheet5!$D$48,IF(H39=Sheet5!$B$49,Sheet5!$D$49,IF(H39=Sheet5!$B$50,Sheet5!$D$50,0))))))</f>
        <v>0</v>
      </c>
      <c r="T39" s="3"/>
      <c r="U39" s="314">
        <f>IF(AND(D39&lt;&gt;Sheet4!$G$8,P39=0),0,((Start!$H$79*'1.Energy'!K39*1000)-('1.Energy'!P39*'1.Energy'!K39*1000))/1000000)</f>
        <v>0</v>
      </c>
      <c r="V39" s="314"/>
      <c r="W39" s="314">
        <f>IF(AND(D39&lt;&gt;Sheet4!$G$8,S39=0),0,((Start!$I$79*'1.Energy'!K39*1000)-(IF(R39&gt;0,R39,'1.Energy'!S39)*'1.Energy'!K39*1000))/1000000)</f>
        <v>0</v>
      </c>
      <c r="X39" s="314"/>
      <c r="Y39" s="314"/>
      <c r="Z39" s="311">
        <f>U39+(W39*IF(Start!$G$62&gt;0,Start!$G$62,Start!$F$62))</f>
        <v>0</v>
      </c>
      <c r="AA39" s="311"/>
      <c r="AB39" s="311"/>
      <c r="AC39" s="3"/>
    </row>
    <row r="40" spans="3:40" x14ac:dyDescent="0.2">
      <c r="C40" s="2"/>
      <c r="D40" s="5"/>
      <c r="E40" s="6"/>
      <c r="F40" s="6"/>
      <c r="G40" s="7"/>
      <c r="H40" s="7"/>
      <c r="I40" s="7"/>
      <c r="J40" s="7"/>
      <c r="K40" s="7"/>
      <c r="L40" s="2"/>
      <c r="M40" s="2"/>
      <c r="N40" s="2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06">
        <f>SUM(Z34:AB39)</f>
        <v>0</v>
      </c>
      <c r="AA40" s="307"/>
      <c r="AB40" s="307"/>
      <c r="AC40" s="3"/>
    </row>
    <row r="41" spans="3:40" x14ac:dyDescent="0.2">
      <c r="C41" s="2"/>
      <c r="D41" s="75" t="s">
        <v>104</v>
      </c>
      <c r="E41" s="6"/>
      <c r="F41" s="6"/>
      <c r="G41" s="7"/>
      <c r="H41" s="7"/>
      <c r="I41" s="7"/>
      <c r="J41" s="7"/>
      <c r="K41" s="7"/>
      <c r="L41" s="2"/>
      <c r="M41" s="2"/>
      <c r="N41" s="2"/>
      <c r="O41" s="75" t="s">
        <v>119</v>
      </c>
      <c r="P41" s="3"/>
      <c r="Q41" s="3"/>
      <c r="R41" s="3"/>
      <c r="S41" s="75"/>
      <c r="T41" s="3"/>
      <c r="U41" s="3"/>
      <c r="V41" s="3"/>
      <c r="W41" s="3"/>
      <c r="X41" s="3"/>
      <c r="Y41" s="3"/>
      <c r="Z41" s="308"/>
      <c r="AA41" s="308"/>
      <c r="AB41" s="308"/>
      <c r="AC41" s="3"/>
    </row>
    <row r="42" spans="3:40" x14ac:dyDescent="0.2">
      <c r="C42" s="2"/>
      <c r="D42" s="75" t="s">
        <v>123</v>
      </c>
      <c r="E42" s="6"/>
      <c r="F42" s="6"/>
      <c r="G42" s="7"/>
      <c r="H42" s="7"/>
      <c r="I42" s="7"/>
      <c r="J42" s="7"/>
      <c r="K42" s="7"/>
      <c r="L42" s="2"/>
      <c r="M42" s="2"/>
      <c r="N42" s="2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</row>
    <row r="47" spans="3:40" ht="30" customHeight="1" x14ac:dyDescent="0.2">
      <c r="C47" s="78" t="s">
        <v>124</v>
      </c>
      <c r="D47" s="4" t="s">
        <v>125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G47" s="86" t="s">
        <v>176</v>
      </c>
      <c r="AH47" s="322" t="s">
        <v>79</v>
      </c>
      <c r="AI47" s="322"/>
      <c r="AJ47" s="322"/>
      <c r="AK47" s="322"/>
      <c r="AL47" s="322"/>
      <c r="AM47" s="322"/>
      <c r="AN47" s="322"/>
    </row>
    <row r="48" spans="3:40" ht="7.25" customHeight="1" x14ac:dyDescent="0.2"/>
    <row r="49" spans="3:40" ht="14.5" customHeight="1" x14ac:dyDescent="0.2">
      <c r="C49" s="2"/>
      <c r="D49" s="2"/>
      <c r="E49" s="2"/>
      <c r="F49" s="2"/>
      <c r="G49" s="2"/>
      <c r="H49" s="2"/>
      <c r="I49" s="2"/>
      <c r="J49" s="2"/>
      <c r="K49" s="312" t="s">
        <v>165</v>
      </c>
      <c r="L49" s="312"/>
      <c r="M49" s="312"/>
      <c r="N49" s="2"/>
      <c r="O49" s="310" t="s">
        <v>167</v>
      </c>
      <c r="P49" s="310"/>
      <c r="Q49" s="310"/>
      <c r="R49" s="310"/>
      <c r="S49" s="83"/>
      <c r="T49" s="310" t="s">
        <v>103</v>
      </c>
      <c r="U49" s="310"/>
      <c r="V49" s="310"/>
      <c r="W49" s="310"/>
      <c r="X49" s="310"/>
      <c r="Y49" s="310"/>
      <c r="Z49" s="310"/>
      <c r="AA49" s="83"/>
      <c r="AB49" s="310" t="s">
        <v>77</v>
      </c>
      <c r="AC49" s="310"/>
      <c r="AD49" s="9"/>
      <c r="AG49" s="9"/>
      <c r="AH49" s="9"/>
      <c r="AI49" s="9"/>
      <c r="AJ49" s="310" t="s">
        <v>175</v>
      </c>
      <c r="AK49" s="310"/>
      <c r="AL49" s="310"/>
      <c r="AM49" s="310"/>
      <c r="AN49" s="9"/>
    </row>
    <row r="50" spans="3:40" ht="14.5" customHeight="1" x14ac:dyDescent="0.2">
      <c r="C50" s="2"/>
      <c r="D50" s="312" t="s">
        <v>128</v>
      </c>
      <c r="E50" s="312"/>
      <c r="F50" s="312"/>
      <c r="G50" s="2"/>
      <c r="H50" s="312" t="s">
        <v>54</v>
      </c>
      <c r="I50" s="312"/>
      <c r="J50" s="2"/>
      <c r="K50" s="312"/>
      <c r="L50" s="312"/>
      <c r="M50" s="312"/>
      <c r="N50" s="2"/>
      <c r="O50" s="316"/>
      <c r="P50" s="316"/>
      <c r="Q50" s="316"/>
      <c r="R50" s="316"/>
      <c r="S50" s="83"/>
      <c r="T50" s="316"/>
      <c r="U50" s="316"/>
      <c r="V50" s="316"/>
      <c r="W50" s="316"/>
      <c r="X50" s="316"/>
      <c r="Y50" s="316"/>
      <c r="Z50" s="316"/>
      <c r="AA50" s="83"/>
      <c r="AB50" s="310"/>
      <c r="AC50" s="310"/>
      <c r="AD50" s="9"/>
      <c r="AG50" s="9"/>
      <c r="AH50" s="73" t="s">
        <v>171</v>
      </c>
      <c r="AI50" s="9"/>
      <c r="AJ50" s="316"/>
      <c r="AK50" s="316"/>
      <c r="AL50" s="316"/>
      <c r="AM50" s="316"/>
      <c r="AN50" s="9"/>
    </row>
    <row r="51" spans="3:40" ht="36.5" customHeight="1" x14ac:dyDescent="0.2">
      <c r="C51" s="2"/>
      <c r="D51" s="312"/>
      <c r="E51" s="312"/>
      <c r="F51" s="312"/>
      <c r="G51" s="12"/>
      <c r="H51" s="312"/>
      <c r="I51" s="312"/>
      <c r="J51" s="12"/>
      <c r="K51" s="312"/>
      <c r="L51" s="312"/>
      <c r="M51" s="312"/>
      <c r="N51" s="2"/>
      <c r="O51" s="79" t="s">
        <v>168</v>
      </c>
      <c r="P51" s="79" t="s">
        <v>169</v>
      </c>
      <c r="Q51" s="312" t="s">
        <v>170</v>
      </c>
      <c r="R51" s="312"/>
      <c r="S51" s="80"/>
      <c r="T51" s="17"/>
      <c r="U51" s="313" t="s">
        <v>18</v>
      </c>
      <c r="V51" s="313"/>
      <c r="W51" s="313" t="s">
        <v>19</v>
      </c>
      <c r="X51" s="313"/>
      <c r="Y51" s="313" t="s">
        <v>166</v>
      </c>
      <c r="Z51" s="313"/>
      <c r="AA51" s="83"/>
      <c r="AB51" s="310"/>
      <c r="AC51" s="310"/>
      <c r="AD51" s="9"/>
      <c r="AG51" s="9"/>
      <c r="AH51" s="72" t="s">
        <v>172</v>
      </c>
      <c r="AI51" s="9"/>
      <c r="AJ51" s="312" t="s">
        <v>174</v>
      </c>
      <c r="AK51" s="312"/>
      <c r="AL51" s="79" t="s">
        <v>169</v>
      </c>
      <c r="AM51" s="79" t="s">
        <v>170</v>
      </c>
      <c r="AN51" s="9"/>
    </row>
    <row r="52" spans="3:40" ht="15.5" customHeight="1" x14ac:dyDescent="0.2">
      <c r="C52" s="2"/>
      <c r="D52" s="318" t="s">
        <v>33</v>
      </c>
      <c r="E52" s="318"/>
      <c r="F52" s="318"/>
      <c r="G52" s="7"/>
      <c r="H52" s="318"/>
      <c r="I52" s="318"/>
      <c r="J52" s="7"/>
      <c r="K52" s="309">
        <v>0</v>
      </c>
      <c r="L52" s="309"/>
      <c r="M52" s="309"/>
      <c r="N52" s="2"/>
      <c r="O52" s="58">
        <f>IF('1.Energy'!H52=Start!$E$86,Start!$H$86,IF('1.Energy'!H52=Start!$E$87,Start!$H$87,IF('1.Energy'!H52=Start!$E$88,Start!$H$88,IF('1.Energy'!H52=Start!$E$89,Start!$H$89,IF('1.Energy'!H52=Start!$E$90,Start!$H$90,IF('1.Energy'!H52=Start!$E$92,Start!$H$92,IF('1.Energy'!H52=Start!$E$93,Start!$H$93,IF('1.Energy'!H52=Start!$E$94,Start!$H$94,0))))))))</f>
        <v>0</v>
      </c>
      <c r="P52" s="58">
        <f>IF('1.Energy'!H52=Start!$E$86,Start!$J$86,IF('1.Energy'!H52=Start!$E$87,Start!$J$87,IF('1.Energy'!H52=Start!$E$88,Start!$J$88,IF('1.Energy'!H52=Start!$E$89,Start!$J$89,IF('1.Energy'!H52=Start!$E$90,Start!$J$90,IF('1.Energy'!H52=Start!$E$92,Start!$J$92,IF('1.Energy'!H52=Start!$E$93,Start!$J$93,IF('1.Energy'!H52=Start!$E$94,Start!$J$94,0))))))))</f>
        <v>0</v>
      </c>
      <c r="Q52" s="314">
        <f>IF('1.Energy'!H52=Start!$E$86,Start!$L$86,IF('1.Energy'!H52=Start!$E$87,Start!$L$87,IF('1.Energy'!H52=Start!$E$88,Start!$L$88,IF('1.Energy'!H52=Start!$E$89,Start!$L$89,IF('1.Energy'!H52=Start!$E$90,Start!$L$90,IF('1.Energy'!H52=Start!$E$92,Start!$L$92,IF('1.Energy'!H52=Start!$E$93,Start!$L$93,IF('1.Energy'!H52=Start!$E$94,Start!$L$94,0))))))))</f>
        <v>0</v>
      </c>
      <c r="R52" s="314"/>
      <c r="S52" s="314"/>
      <c r="T52" s="314"/>
      <c r="U52" s="314">
        <f>IF(AND(D52&lt;&gt;"Please select",H52&lt;&gt;"Please select"),((((Start!$H$71/1000)/Start!$W$71)*K52)-(K52*IF(AJ52&gt;0,AJ52,O52)))/1000,0)</f>
        <v>0</v>
      </c>
      <c r="V52" s="314"/>
      <c r="W52" s="314">
        <f>IF(AND(D52&lt;&gt;"Please select",H52&lt;&gt;"Please select"),((((Start!$H$71/1000)/Start!$W$71)*K52)-(K52*IF(AL52&gt;0,AL52,P52)))/1000000,0)</f>
        <v>0</v>
      </c>
      <c r="X52" s="314"/>
      <c r="Y52" s="314">
        <f>IF(AND(D52&lt;&gt;"Please select",H52&lt;&gt;"Please select"),((((Start!$H$71/1000)/Start!$W$71)*K52)-(K52*IF(AM52&gt;0,AM52,Q52)))/1000000,0)</f>
        <v>0</v>
      </c>
      <c r="Z52" s="314"/>
      <c r="AA52" s="84"/>
      <c r="AB52" s="305">
        <f>U52+(W52*Start!F62)+('1.Energy'!Y52*Start!F65)</f>
        <v>0</v>
      </c>
      <c r="AC52" s="305"/>
      <c r="AD52" s="9"/>
      <c r="AG52" s="9"/>
      <c r="AH52" s="74" t="str">
        <f>IF(H52&lt;&gt;"",H52,"Please select")</f>
        <v>Please select</v>
      </c>
      <c r="AI52" s="13"/>
      <c r="AJ52" s="323">
        <v>0</v>
      </c>
      <c r="AK52" s="323"/>
      <c r="AL52" s="136">
        <v>0</v>
      </c>
      <c r="AM52" s="136">
        <v>0</v>
      </c>
      <c r="AN52" s="9"/>
    </row>
    <row r="53" spans="3:40" ht="15.5" customHeight="1" x14ac:dyDescent="0.2">
      <c r="C53" s="2"/>
      <c r="D53" s="318" t="s">
        <v>33</v>
      </c>
      <c r="E53" s="318"/>
      <c r="F53" s="318"/>
      <c r="G53" s="7"/>
      <c r="H53" s="318"/>
      <c r="I53" s="318"/>
      <c r="J53" s="7"/>
      <c r="K53" s="309">
        <v>0</v>
      </c>
      <c r="L53" s="309"/>
      <c r="M53" s="309"/>
      <c r="N53" s="2"/>
      <c r="O53" s="58">
        <f>IF('1.Energy'!H53=Start!$E$86,Start!$H$86,IF('1.Energy'!H53=Start!$E$87,Start!$H$87,IF('1.Energy'!H53=Start!$E$88,Start!$H$88,IF('1.Energy'!H53=Start!$E$89,Start!$H$89,IF('1.Energy'!H53=Start!$E$90,Start!$H$90,IF('1.Energy'!H53=Start!$E$92,Start!$H$92,IF('1.Energy'!H53=Start!$E$93,Start!$H$93,IF('1.Energy'!H53=Start!$E$94,Start!$H$94,0))))))))</f>
        <v>0</v>
      </c>
      <c r="P53" s="58">
        <f>IF('1.Energy'!H53=Start!$E$86,Start!$J$86,IF('1.Energy'!H53=Start!$E$87,Start!$J$87,IF('1.Energy'!H53=Start!$E$88,Start!$J$88,IF('1.Energy'!H53=Start!$E$89,Start!$J$89,IF('1.Energy'!H53=Start!$E$90,Start!$J$90,IF('1.Energy'!H53=Start!$E$92,Start!$J$92,IF('1.Energy'!H53=Start!$E$93,Start!$J$93,IF('1.Energy'!H53=Start!$E$94,Start!$J$94,0))))))))</f>
        <v>0</v>
      </c>
      <c r="Q53" s="314">
        <f>IF('1.Energy'!H53=Start!$E$86,Start!$L$86,IF('1.Energy'!H53=Start!$E$87,Start!$L$87,IF('1.Energy'!H53=Start!$E$88,Start!$L$88,IF('1.Energy'!H53=Start!$E$89,Start!$L$89,IF('1.Energy'!H53=Start!$E$90,Start!$L$90,IF('1.Energy'!H53=Start!$E$92,Start!$L$92,IF('1.Energy'!H53=Start!$E$93,Start!$L$93,IF('1.Energy'!H53=Start!$E$94,Start!$L$94,0))))))))</f>
        <v>0</v>
      </c>
      <c r="R53" s="314"/>
      <c r="S53" s="314"/>
      <c r="T53" s="314"/>
      <c r="U53" s="314">
        <f>IF(AND(D53&lt;&gt;"Please select",H53&lt;&gt;"Please select"),((((Start!$H$71/1000)/Start!$W$71)*K53)-(K53*IF(AJ53&gt;0,AJ53,O53)))/1000,0)</f>
        <v>0</v>
      </c>
      <c r="V53" s="314"/>
      <c r="W53" s="314">
        <f>IF(AND(D53&lt;&gt;"Please select",H53&lt;&gt;"Please select"),((((Start!$H$71/1000)/Start!$W$71)*K53)-(K53*IF(AL53&gt;0,AL53,P53)))/1000000,0)</f>
        <v>0</v>
      </c>
      <c r="X53" s="314"/>
      <c r="Y53" s="314">
        <f>IF(AND(D53&lt;&gt;"Please select",H53&lt;&gt;"Please select"),((((Start!$H$71/1000)/Start!$W$71)*K53)-(K53*IF(AM53&gt;0,AM53,Q53)))/1000000,0)</f>
        <v>0</v>
      </c>
      <c r="Z53" s="314"/>
      <c r="AA53" s="84"/>
      <c r="AB53" s="305">
        <f>U53+(W53*Start!F63)+('1.Energy'!Y53*Start!F66)</f>
        <v>0</v>
      </c>
      <c r="AC53" s="305"/>
      <c r="AD53" s="9"/>
      <c r="AG53" s="9"/>
      <c r="AH53" s="74" t="str">
        <f t="shared" ref="AH53:AH57" si="1">IF(H53&lt;&gt;"",H53,"Please select")</f>
        <v>Please select</v>
      </c>
      <c r="AI53" s="13"/>
      <c r="AJ53" s="323">
        <v>0</v>
      </c>
      <c r="AK53" s="323"/>
      <c r="AL53" s="136">
        <v>0</v>
      </c>
      <c r="AM53" s="136">
        <v>0</v>
      </c>
      <c r="AN53" s="9"/>
    </row>
    <row r="54" spans="3:40" ht="15.5" customHeight="1" x14ac:dyDescent="0.2">
      <c r="C54" s="2"/>
      <c r="D54" s="318" t="s">
        <v>33</v>
      </c>
      <c r="E54" s="318"/>
      <c r="F54" s="318"/>
      <c r="G54" s="7"/>
      <c r="H54" s="318"/>
      <c r="I54" s="318"/>
      <c r="J54" s="7"/>
      <c r="K54" s="309">
        <v>0</v>
      </c>
      <c r="L54" s="309"/>
      <c r="M54" s="309"/>
      <c r="N54" s="2"/>
      <c r="O54" s="58">
        <f>IF('1.Energy'!H54=Start!$E$86,Start!$H$86,IF('1.Energy'!H54=Start!$E$87,Start!$H$87,IF('1.Energy'!H54=Start!$E$88,Start!$H$88,IF('1.Energy'!H54=Start!$E$89,Start!$H$89,IF('1.Energy'!H54=Start!$E$90,Start!$H$90,IF('1.Energy'!H54=Start!$E$92,Start!$H$92,IF('1.Energy'!H54=Start!$E$93,Start!$H$93,IF('1.Energy'!H54=Start!$E$94,Start!$H$94,0))))))))</f>
        <v>0</v>
      </c>
      <c r="P54" s="58">
        <f>IF('1.Energy'!H54=Start!$E$86,Start!$J$86,IF('1.Energy'!H54=Start!$E$87,Start!$J$87,IF('1.Energy'!H54=Start!$E$88,Start!$J$88,IF('1.Energy'!H54=Start!$E$89,Start!$J$89,IF('1.Energy'!H54=Start!$E$90,Start!$J$90,IF('1.Energy'!H54=Start!$E$92,Start!$J$92,IF('1.Energy'!H54=Start!$E$93,Start!$J$93,IF('1.Energy'!H54=Start!$E$94,Start!$J$94,0))))))))</f>
        <v>0</v>
      </c>
      <c r="Q54" s="314">
        <f>IF('1.Energy'!H54=Start!$E$86,Start!$L$86,IF('1.Energy'!H54=Start!$E$87,Start!$L$87,IF('1.Energy'!H54=Start!$E$88,Start!$L$88,IF('1.Energy'!H54=Start!$E$89,Start!$L$89,IF('1.Energy'!H54=Start!$E$90,Start!$L$90,IF('1.Energy'!H54=Start!$E$92,Start!$L$92,IF('1.Energy'!H54=Start!$E$93,Start!$L$93,IF('1.Energy'!H54=Start!$E$94,Start!$L$94,0))))))))</f>
        <v>0</v>
      </c>
      <c r="R54" s="314"/>
      <c r="S54" s="314"/>
      <c r="T54" s="314"/>
      <c r="U54" s="314">
        <f>IF(AND(D54&lt;&gt;"Please select",H54&lt;&gt;"Please select"),((((Start!$H$71/1000)/Start!$W$71)*K54)-(K54*IF(AJ54&gt;0,AJ54,O54)))/1000,0)</f>
        <v>0</v>
      </c>
      <c r="V54" s="314"/>
      <c r="W54" s="314">
        <f>IF(AND(D54&lt;&gt;"Please select",H54&lt;&gt;"Please select"),((((Start!$H$71/1000)/Start!$W$71)*K54)-(K54*IF(AL54&gt;0,AL54,P54)))/1000000,0)</f>
        <v>0</v>
      </c>
      <c r="X54" s="314"/>
      <c r="Y54" s="314">
        <f>IF(AND(D54&lt;&gt;"Please select",H54&lt;&gt;"Please select"),((((Start!$H$71/1000)/Start!$W$71)*K54)-(K54*IF(AM54&gt;0,AM54,Q54)))/1000000,0)</f>
        <v>0</v>
      </c>
      <c r="Z54" s="314"/>
      <c r="AA54" s="84"/>
      <c r="AB54" s="305">
        <f>U54+(W54*Start!F64)+('1.Energy'!Y54*Start!F67)</f>
        <v>0</v>
      </c>
      <c r="AC54" s="305"/>
      <c r="AD54" s="9"/>
      <c r="AG54" s="9"/>
      <c r="AH54" s="74" t="str">
        <f t="shared" si="1"/>
        <v>Please select</v>
      </c>
      <c r="AI54" s="13"/>
      <c r="AJ54" s="323">
        <v>0</v>
      </c>
      <c r="AK54" s="323"/>
      <c r="AL54" s="136">
        <v>0</v>
      </c>
      <c r="AM54" s="136">
        <v>0</v>
      </c>
      <c r="AN54" s="9"/>
    </row>
    <row r="55" spans="3:40" ht="15.5" customHeight="1" x14ac:dyDescent="0.2">
      <c r="C55" s="2"/>
      <c r="D55" s="318" t="s">
        <v>33</v>
      </c>
      <c r="E55" s="318"/>
      <c r="F55" s="318"/>
      <c r="G55" s="7"/>
      <c r="H55" s="318"/>
      <c r="I55" s="318"/>
      <c r="J55" s="7"/>
      <c r="K55" s="309">
        <v>0</v>
      </c>
      <c r="L55" s="309"/>
      <c r="M55" s="309"/>
      <c r="N55" s="2"/>
      <c r="O55" s="58">
        <f>IF('1.Energy'!H55=Start!$E$86,Start!$H$86,IF('1.Energy'!H55=Start!$E$87,Start!$H$87,IF('1.Energy'!H55=Start!$E$88,Start!$H$88,IF('1.Energy'!H55=Start!$E$89,Start!$H$89,IF('1.Energy'!H55=Start!$E$90,Start!$H$90,IF('1.Energy'!H55=Start!$E$92,Start!$H$92,IF('1.Energy'!H55=Start!$E$93,Start!$H$93,IF('1.Energy'!H55=Start!$E$94,Start!$H$94,0))))))))</f>
        <v>0</v>
      </c>
      <c r="P55" s="58">
        <f>IF('1.Energy'!H55=Start!$E$86,Start!$J$86,IF('1.Energy'!H55=Start!$E$87,Start!$J$87,IF('1.Energy'!H55=Start!$E$88,Start!$J$88,IF('1.Energy'!H55=Start!$E$89,Start!$J$89,IF('1.Energy'!H55=Start!$E$90,Start!$J$90,IF('1.Energy'!H55=Start!$E$92,Start!$J$92,IF('1.Energy'!H55=Start!$E$93,Start!$J$93,IF('1.Energy'!H55=Start!$E$94,Start!$J$94,0))))))))</f>
        <v>0</v>
      </c>
      <c r="Q55" s="314">
        <f>IF('1.Energy'!H55=Start!$E$86,Start!$L$86,IF('1.Energy'!H55=Start!$E$87,Start!$L$87,IF('1.Energy'!H55=Start!$E$88,Start!$L$88,IF('1.Energy'!H55=Start!$E$89,Start!$L$89,IF('1.Energy'!H55=Start!$E$90,Start!$L$90,IF('1.Energy'!H55=Start!$E$92,Start!$L$92,IF('1.Energy'!H55=Start!$E$93,Start!$L$93,IF('1.Energy'!H55=Start!$E$94,Start!$L$94,0))))))))</f>
        <v>0</v>
      </c>
      <c r="R55" s="314"/>
      <c r="S55" s="314"/>
      <c r="T55" s="314"/>
      <c r="U55" s="314">
        <f>IF(AND(D55&lt;&gt;"Please select",H55&lt;&gt;"Please select"),((((Start!$H$71/1000)/Start!$W$71)*K55)-(K55*IF(AJ55&gt;0,AJ55,O55)))/1000,0)</f>
        <v>0</v>
      </c>
      <c r="V55" s="314"/>
      <c r="W55" s="314">
        <f>IF(AND(D55&lt;&gt;"Please select",H55&lt;&gt;"Please select"),((((Start!$H$71/1000)/Start!$W$71)*K55)-(K55*IF(AL55&gt;0,AL55,P55)))/1000000,0)</f>
        <v>0</v>
      </c>
      <c r="X55" s="314"/>
      <c r="Y55" s="314">
        <f>IF(AND(D55&lt;&gt;"Please select",H55&lt;&gt;"Please select"),((((Start!$H$71/1000)/Start!$W$71)*K55)-(K55*IF(AM55&gt;0,AM55,Q55)))/1000000,0)</f>
        <v>0</v>
      </c>
      <c r="Z55" s="314"/>
      <c r="AA55" s="84"/>
      <c r="AB55" s="305">
        <f>U55+(W55*Start!F65)+('1.Energy'!Y55*Start!F68)</f>
        <v>0</v>
      </c>
      <c r="AC55" s="305"/>
      <c r="AD55" s="9"/>
      <c r="AG55" s="9"/>
      <c r="AH55" s="74" t="str">
        <f t="shared" si="1"/>
        <v>Please select</v>
      </c>
      <c r="AI55" s="13"/>
      <c r="AJ55" s="323">
        <v>0</v>
      </c>
      <c r="AK55" s="323"/>
      <c r="AL55" s="136">
        <v>0</v>
      </c>
      <c r="AM55" s="136">
        <v>0</v>
      </c>
      <c r="AN55" s="9"/>
    </row>
    <row r="56" spans="3:40" ht="15.5" customHeight="1" x14ac:dyDescent="0.2">
      <c r="C56" s="2"/>
      <c r="D56" s="318" t="s">
        <v>33</v>
      </c>
      <c r="E56" s="318"/>
      <c r="F56" s="318"/>
      <c r="G56" s="7"/>
      <c r="H56" s="318"/>
      <c r="I56" s="318"/>
      <c r="J56" s="7"/>
      <c r="K56" s="309">
        <v>0</v>
      </c>
      <c r="L56" s="309"/>
      <c r="M56" s="309"/>
      <c r="N56" s="2"/>
      <c r="O56" s="58">
        <f>IF('1.Energy'!H56=Start!$E$86,Start!$H$86,IF('1.Energy'!H56=Start!$E$87,Start!$H$87,IF('1.Energy'!H56=Start!$E$88,Start!$H$88,IF('1.Energy'!H56=Start!$E$89,Start!$H$89,IF('1.Energy'!H56=Start!$E$90,Start!$H$90,IF('1.Energy'!H56=Start!$E$92,Start!$H$92,IF('1.Energy'!H56=Start!$E$93,Start!$H$93,IF('1.Energy'!H56=Start!$E$94,Start!$H$94,0))))))))</f>
        <v>0</v>
      </c>
      <c r="P56" s="58">
        <f>IF('1.Energy'!H56=Start!$E$86,Start!$J$86,IF('1.Energy'!H56=Start!$E$87,Start!$J$87,IF('1.Energy'!H56=Start!$E$88,Start!$J$88,IF('1.Energy'!H56=Start!$E$89,Start!$J$89,IF('1.Energy'!H56=Start!$E$90,Start!$J$90,IF('1.Energy'!H56=Start!$E$92,Start!$J$92,IF('1.Energy'!H56=Start!$E$93,Start!$J$93,IF('1.Energy'!H56=Start!$E$94,Start!$J$94,0))))))))</f>
        <v>0</v>
      </c>
      <c r="Q56" s="314">
        <f>IF('1.Energy'!H56=Start!$E$86,Start!$L$86,IF('1.Energy'!H56=Start!$E$87,Start!$L$87,IF('1.Energy'!H56=Start!$E$88,Start!$L$88,IF('1.Energy'!H56=Start!$E$89,Start!$L$89,IF('1.Energy'!H56=Start!$E$90,Start!$L$90,IF('1.Energy'!H56=Start!$E$92,Start!$L$92,IF('1.Energy'!H56=Start!$E$93,Start!$L$93,IF('1.Energy'!H56=Start!$E$94,Start!$L$94,0))))))))</f>
        <v>0</v>
      </c>
      <c r="R56" s="314"/>
      <c r="S56" s="314"/>
      <c r="T56" s="314"/>
      <c r="U56" s="314">
        <f>IF(AND(D56&lt;&gt;"Please select",H56&lt;&gt;"Please select"),((((Start!$H$71/1000)/Start!$W$71)*K56)-(K56*IF(AJ56&gt;0,AJ56,O56)))/1000,0)</f>
        <v>0</v>
      </c>
      <c r="V56" s="314"/>
      <c r="W56" s="314">
        <f>IF(AND(D56&lt;&gt;"Please select",H56&lt;&gt;"Please select"),((((Start!$H$71/1000)/Start!$W$71)*K56)-(K56*IF(AL56&gt;0,AL56,P56)))/1000000,0)</f>
        <v>0</v>
      </c>
      <c r="X56" s="314"/>
      <c r="Y56" s="314">
        <f>IF(AND(D56&lt;&gt;"Please select",H56&lt;&gt;"Please select"),((((Start!$H$71/1000)/Start!$W$71)*K56)-(K56*IF(AM56&gt;0,AM56,Q56)))/1000000,0)</f>
        <v>0</v>
      </c>
      <c r="Z56" s="314"/>
      <c r="AA56" s="84"/>
      <c r="AB56" s="305">
        <f>U56+(W56*Start!F66)+('1.Energy'!Y56*Start!F69)</f>
        <v>0</v>
      </c>
      <c r="AC56" s="305"/>
      <c r="AD56" s="9"/>
      <c r="AG56" s="9"/>
      <c r="AH56" s="74" t="str">
        <f t="shared" si="1"/>
        <v>Please select</v>
      </c>
      <c r="AI56" s="13"/>
      <c r="AJ56" s="323">
        <v>0</v>
      </c>
      <c r="AK56" s="323"/>
      <c r="AL56" s="136">
        <v>0</v>
      </c>
      <c r="AM56" s="136">
        <v>0</v>
      </c>
      <c r="AN56" s="9"/>
    </row>
    <row r="57" spans="3:40" ht="15.5" customHeight="1" x14ac:dyDescent="0.2">
      <c r="C57" s="2"/>
      <c r="D57" s="318" t="s">
        <v>33</v>
      </c>
      <c r="E57" s="318"/>
      <c r="F57" s="318"/>
      <c r="G57" s="7"/>
      <c r="H57" s="318"/>
      <c r="I57" s="318"/>
      <c r="J57" s="7"/>
      <c r="K57" s="309">
        <v>0</v>
      </c>
      <c r="L57" s="309"/>
      <c r="M57" s="309"/>
      <c r="N57" s="2"/>
      <c r="O57" s="58">
        <f>IF('1.Energy'!H57=Start!$E$86,Start!$H$86,IF('1.Energy'!H57=Start!$E$87,Start!$H$87,IF('1.Energy'!H57=Start!$E$88,Start!$H$88,IF('1.Energy'!H57=Start!$E$89,Start!$H$89,IF('1.Energy'!H57=Start!$E$90,Start!$H$90,IF('1.Energy'!H57=Start!$E$92,Start!$H$92,IF('1.Energy'!H57=Start!$E$93,Start!$H$93,IF('1.Energy'!H57=Start!$E$94,Start!$H$94,0))))))))</f>
        <v>0</v>
      </c>
      <c r="P57" s="58">
        <f>IF('1.Energy'!H57=Start!$E$86,Start!$J$86,IF('1.Energy'!H57=Start!$E$87,Start!$J$87,IF('1.Energy'!H57=Start!$E$88,Start!$J$88,IF('1.Energy'!H57=Start!$E$89,Start!$J$89,IF('1.Energy'!H57=Start!$E$90,Start!$J$90,IF('1.Energy'!H57=Start!$E$92,Start!$J$92,IF('1.Energy'!H57=Start!$E$93,Start!$J$93,IF('1.Energy'!H57=Start!$E$94,Start!$J$94,0))))))))</f>
        <v>0</v>
      </c>
      <c r="Q57" s="314">
        <f>IF('1.Energy'!H57=Start!$E$86,Start!$L$86,IF('1.Energy'!H57=Start!$E$87,Start!$L$87,IF('1.Energy'!H57=Start!$E$88,Start!$L$88,IF('1.Energy'!H57=Start!$E$89,Start!$L$89,IF('1.Energy'!H57=Start!$E$90,Start!$L$90,IF('1.Energy'!H57=Start!$E$92,Start!$L$92,IF('1.Energy'!H57=Start!$E$93,Start!$L$93,IF('1.Energy'!H57=Start!$E$94,Start!$L$94,0))))))))</f>
        <v>0</v>
      </c>
      <c r="R57" s="314"/>
      <c r="S57" s="314"/>
      <c r="T57" s="314"/>
      <c r="U57" s="314">
        <f>IF(AND(D57&lt;&gt;"Please select",H57&lt;&gt;"Please select"),((((Start!$H$71/1000)/Start!$W$71)*K57)-(K57*IF(AJ57&gt;0,AJ57,O57)))/1000,0)</f>
        <v>0</v>
      </c>
      <c r="V57" s="314"/>
      <c r="W57" s="314">
        <f>IF(AND(D57&lt;&gt;"Please select",H57&lt;&gt;"Please select"),((((Start!$H$71/1000)/Start!$W$71)*K57)-(K57*IF(AL57&gt;0,AL57,P57)))/1000000,0)</f>
        <v>0</v>
      </c>
      <c r="X57" s="314"/>
      <c r="Y57" s="314">
        <f>IF(AND(D57&lt;&gt;"Please select",H57&lt;&gt;"Please select"),((((Start!$H$71/1000)/Start!$W$71)*K57)-(K57*IF(AM57&gt;0,AM57,Q57)))/1000000,0)</f>
        <v>0</v>
      </c>
      <c r="Z57" s="314"/>
      <c r="AA57" s="84"/>
      <c r="AB57" s="311">
        <f>U57+(W57*Start!F67)+('1.Energy'!Y57*Start!F70)</f>
        <v>0</v>
      </c>
      <c r="AC57" s="311"/>
      <c r="AD57" s="9"/>
      <c r="AG57" s="9"/>
      <c r="AH57" s="74" t="str">
        <f t="shared" si="1"/>
        <v>Please select</v>
      </c>
      <c r="AI57" s="13"/>
      <c r="AJ57" s="323">
        <v>0</v>
      </c>
      <c r="AK57" s="323"/>
      <c r="AL57" s="136">
        <v>0</v>
      </c>
      <c r="AM57" s="136">
        <v>0</v>
      </c>
      <c r="AN57" s="9"/>
    </row>
    <row r="58" spans="3:40" x14ac:dyDescent="0.2">
      <c r="C58" s="2"/>
      <c r="D58" s="5"/>
      <c r="E58" s="6"/>
      <c r="F58" s="6"/>
      <c r="G58" s="7"/>
      <c r="H58" s="7"/>
      <c r="I58" s="7"/>
      <c r="J58" s="7"/>
      <c r="K58" s="7"/>
      <c r="L58" s="2"/>
      <c r="M58" s="2"/>
      <c r="N58" s="2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06">
        <f>SUM(AB52:AC57)</f>
        <v>0</v>
      </c>
      <c r="AC58" s="307"/>
      <c r="AD58" s="9"/>
      <c r="AG58" s="9"/>
      <c r="AH58" s="9"/>
      <c r="AI58" s="9"/>
      <c r="AJ58" s="9"/>
      <c r="AK58" s="9"/>
      <c r="AL58" s="9"/>
      <c r="AM58" s="9"/>
      <c r="AN58" s="9"/>
    </row>
    <row r="59" spans="3:40" x14ac:dyDescent="0.2">
      <c r="C59" s="2"/>
      <c r="D59" s="75"/>
      <c r="E59" s="6"/>
      <c r="F59" s="6"/>
      <c r="G59" s="7"/>
      <c r="H59" s="7"/>
      <c r="I59" s="7"/>
      <c r="J59" s="7"/>
      <c r="K59" s="7"/>
      <c r="L59" s="2"/>
      <c r="M59" s="2"/>
      <c r="N59" s="2"/>
      <c r="O59" s="3"/>
      <c r="P59" s="75"/>
      <c r="Q59" s="3"/>
      <c r="R59" s="3"/>
      <c r="S59" s="3"/>
      <c r="T59" s="3"/>
      <c r="U59" s="3"/>
      <c r="V59" s="75"/>
      <c r="W59" s="3"/>
      <c r="X59" s="3"/>
      <c r="Y59" s="3"/>
      <c r="Z59" s="3"/>
      <c r="AA59" s="3"/>
      <c r="AB59" s="308"/>
      <c r="AC59" s="308"/>
      <c r="AD59" s="9"/>
      <c r="AG59" s="9"/>
      <c r="AH59" s="75"/>
      <c r="AI59" s="9"/>
      <c r="AJ59" s="9"/>
      <c r="AK59" s="9"/>
      <c r="AL59" s="9"/>
      <c r="AM59" s="9"/>
      <c r="AN59" s="9"/>
    </row>
    <row r="60" spans="3:40" x14ac:dyDescent="0.2">
      <c r="C60" s="2"/>
      <c r="D60" s="75"/>
      <c r="E60" s="6"/>
      <c r="F60" s="6"/>
      <c r="G60" s="7"/>
      <c r="H60" s="7"/>
      <c r="I60" s="7"/>
      <c r="J60" s="7"/>
      <c r="K60" s="7"/>
      <c r="L60" s="2"/>
      <c r="M60" s="2"/>
      <c r="N60" s="2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9"/>
      <c r="AG60" s="9"/>
      <c r="AH60" s="9"/>
      <c r="AI60" s="9"/>
      <c r="AJ60" s="9"/>
      <c r="AK60" s="9"/>
      <c r="AL60" s="9"/>
      <c r="AM60" s="9"/>
      <c r="AN60" s="9"/>
    </row>
    <row r="65" spans="3:24" ht="30" customHeight="1" x14ac:dyDescent="0.2">
      <c r="C65" s="78" t="s">
        <v>178</v>
      </c>
      <c r="D65" s="4" t="s">
        <v>177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3:24" ht="7.25" customHeight="1" x14ac:dyDescent="0.2"/>
    <row r="67" spans="3:24" ht="14.5" customHeight="1" x14ac:dyDescent="0.2">
      <c r="C67" s="2"/>
      <c r="D67" s="2"/>
      <c r="E67" s="2"/>
      <c r="F67" s="2"/>
      <c r="G67" s="2"/>
      <c r="H67" s="310" t="s">
        <v>186</v>
      </c>
      <c r="I67" s="310"/>
      <c r="J67" s="3"/>
      <c r="K67" s="310" t="s">
        <v>188</v>
      </c>
      <c r="L67" s="310"/>
      <c r="M67" s="310"/>
      <c r="N67" s="3"/>
      <c r="O67" s="312" t="s">
        <v>189</v>
      </c>
      <c r="P67" s="312"/>
      <c r="Q67" s="12"/>
      <c r="R67" s="312" t="s">
        <v>190</v>
      </c>
      <c r="S67" s="312"/>
      <c r="T67" s="2"/>
      <c r="U67" s="310" t="s">
        <v>77</v>
      </c>
      <c r="V67" s="310"/>
      <c r="W67" s="310"/>
      <c r="X67" s="2"/>
    </row>
    <row r="68" spans="3:24" ht="14.5" customHeight="1" x14ac:dyDescent="0.2">
      <c r="C68" s="2"/>
      <c r="D68" s="312" t="s">
        <v>185</v>
      </c>
      <c r="E68" s="312"/>
      <c r="F68" s="312"/>
      <c r="G68" s="2"/>
      <c r="H68" s="316"/>
      <c r="I68" s="316"/>
      <c r="J68" s="3"/>
      <c r="K68" s="316"/>
      <c r="L68" s="316"/>
      <c r="M68" s="316"/>
      <c r="N68" s="3"/>
      <c r="O68" s="312"/>
      <c r="P68" s="312"/>
      <c r="Q68" s="12"/>
      <c r="R68" s="312"/>
      <c r="S68" s="312"/>
      <c r="T68" s="2"/>
      <c r="U68" s="310"/>
      <c r="V68" s="310"/>
      <c r="W68" s="310"/>
      <c r="X68" s="2"/>
    </row>
    <row r="69" spans="3:24" ht="30" x14ac:dyDescent="0.2">
      <c r="C69" s="2"/>
      <c r="D69" s="312"/>
      <c r="E69" s="312"/>
      <c r="F69" s="312"/>
      <c r="G69" s="12"/>
      <c r="H69" s="14" t="s">
        <v>90</v>
      </c>
      <c r="I69" s="14" t="s">
        <v>51</v>
      </c>
      <c r="J69" s="3"/>
      <c r="K69" s="14" t="s">
        <v>90</v>
      </c>
      <c r="L69" s="317" t="s">
        <v>187</v>
      </c>
      <c r="M69" s="317"/>
      <c r="N69" s="3"/>
      <c r="O69" s="312"/>
      <c r="P69" s="312"/>
      <c r="Q69" s="12"/>
      <c r="R69" s="312"/>
      <c r="S69" s="312"/>
      <c r="T69" s="2"/>
      <c r="U69" s="310"/>
      <c r="V69" s="310"/>
      <c r="W69" s="310"/>
      <c r="X69" s="2"/>
    </row>
    <row r="70" spans="3:24" x14ac:dyDescent="0.2">
      <c r="C70" s="2"/>
      <c r="D70" s="318" t="s">
        <v>33</v>
      </c>
      <c r="E70" s="318"/>
      <c r="F70" s="318"/>
      <c r="G70" s="7"/>
      <c r="H70" s="146"/>
      <c r="I70" s="77">
        <v>37.79</v>
      </c>
      <c r="J70" s="3"/>
      <c r="K70" s="146"/>
      <c r="L70" s="315">
        <v>10.08</v>
      </c>
      <c r="M70" s="315"/>
      <c r="N70" s="3"/>
      <c r="O70" s="309">
        <v>0</v>
      </c>
      <c r="P70" s="309"/>
      <c r="Q70" s="12"/>
      <c r="R70" s="309">
        <v>0</v>
      </c>
      <c r="S70" s="309"/>
      <c r="T70" s="2"/>
      <c r="U70" s="305">
        <f>IF(D70="Please select",0,(((Start!$H$71/1000000)/Start!$W$71)*'1.Energy'!O70)-((O70*IF(H70&gt;0,H70/1000,I70/1000))+(R70*IF(K70&gt;0,K70/1000,L70/1000))))</f>
        <v>0</v>
      </c>
      <c r="V70" s="305"/>
      <c r="W70" s="305"/>
      <c r="X70" s="2"/>
    </row>
    <row r="71" spans="3:24" x14ac:dyDescent="0.2">
      <c r="C71" s="2"/>
      <c r="D71" s="318" t="s">
        <v>33</v>
      </c>
      <c r="E71" s="318"/>
      <c r="F71" s="318"/>
      <c r="G71" s="7"/>
      <c r="H71" s="133"/>
      <c r="I71" s="77">
        <v>37.79</v>
      </c>
      <c r="J71" s="3"/>
      <c r="K71" s="133"/>
      <c r="L71" s="315">
        <v>10.08</v>
      </c>
      <c r="M71" s="315"/>
      <c r="N71" s="3"/>
      <c r="O71" s="309">
        <v>0</v>
      </c>
      <c r="P71" s="309"/>
      <c r="Q71" s="12"/>
      <c r="R71" s="309">
        <v>0</v>
      </c>
      <c r="S71" s="309"/>
      <c r="T71" s="2"/>
      <c r="U71" s="305">
        <f>IF(D71="Please select",0,(((Start!$H$71/1000000)/Start!$W$71)*'1.Energy'!O71)-((O71*IF(H71&gt;0,H71/1000,I71/1000))+(R71*IF(K71&gt;0,K71/1000,L71/1000))))</f>
        <v>0</v>
      </c>
      <c r="V71" s="305"/>
      <c r="W71" s="305"/>
      <c r="X71" s="2"/>
    </row>
    <row r="72" spans="3:24" x14ac:dyDescent="0.2">
      <c r="C72" s="2"/>
      <c r="D72" s="318" t="s">
        <v>33</v>
      </c>
      <c r="E72" s="318"/>
      <c r="F72" s="318"/>
      <c r="G72" s="7"/>
      <c r="H72" s="133"/>
      <c r="I72" s="77">
        <v>37.79</v>
      </c>
      <c r="J72" s="3"/>
      <c r="K72" s="133"/>
      <c r="L72" s="315">
        <v>10.08</v>
      </c>
      <c r="M72" s="315"/>
      <c r="N72" s="3"/>
      <c r="O72" s="309">
        <v>0</v>
      </c>
      <c r="P72" s="309"/>
      <c r="Q72" s="12"/>
      <c r="R72" s="309">
        <v>0</v>
      </c>
      <c r="S72" s="309"/>
      <c r="T72" s="2"/>
      <c r="U72" s="305">
        <f>IF(D72="Please select",0,(((Start!$H$71/1000000)/Start!$W$71)*'1.Energy'!O72)-((O72*IF(H72&gt;0,H72/1000,I72/1000))+(R72*IF(K72&gt;0,K72/1000,L72/1000))))</f>
        <v>0</v>
      </c>
      <c r="V72" s="305"/>
      <c r="W72" s="305"/>
      <c r="X72" s="2"/>
    </row>
    <row r="73" spans="3:24" x14ac:dyDescent="0.2">
      <c r="C73" s="2"/>
      <c r="D73" s="318" t="s">
        <v>33</v>
      </c>
      <c r="E73" s="318"/>
      <c r="F73" s="318"/>
      <c r="G73" s="7"/>
      <c r="H73" s="133"/>
      <c r="I73" s="77">
        <v>37.79</v>
      </c>
      <c r="J73" s="3"/>
      <c r="K73" s="133"/>
      <c r="L73" s="315">
        <v>10.08</v>
      </c>
      <c r="M73" s="315"/>
      <c r="N73" s="3"/>
      <c r="O73" s="309">
        <v>0</v>
      </c>
      <c r="P73" s="309"/>
      <c r="Q73" s="12"/>
      <c r="R73" s="309">
        <v>0</v>
      </c>
      <c r="S73" s="309"/>
      <c r="T73" s="2"/>
      <c r="U73" s="305">
        <f>IF(D73="Please select",0,(((Start!$H$71/1000000)/Start!$W$71)*'1.Energy'!O73)-((O73*IF(H73&gt;0,H73/1000,I73/1000))+(R73*IF(K73&gt;0,K73/1000,L73/1000))))</f>
        <v>0</v>
      </c>
      <c r="V73" s="305"/>
      <c r="W73" s="305"/>
      <c r="X73" s="2"/>
    </row>
    <row r="74" spans="3:24" x14ac:dyDescent="0.2">
      <c r="C74" s="2"/>
      <c r="D74" s="318" t="s">
        <v>33</v>
      </c>
      <c r="E74" s="318"/>
      <c r="F74" s="318"/>
      <c r="G74" s="7"/>
      <c r="H74" s="133"/>
      <c r="I74" s="77">
        <v>37.79</v>
      </c>
      <c r="J74" s="3"/>
      <c r="K74" s="133"/>
      <c r="L74" s="315">
        <v>10.08</v>
      </c>
      <c r="M74" s="315"/>
      <c r="N74" s="3"/>
      <c r="O74" s="309">
        <v>0</v>
      </c>
      <c r="P74" s="309"/>
      <c r="Q74" s="12"/>
      <c r="R74" s="309">
        <v>0</v>
      </c>
      <c r="S74" s="309"/>
      <c r="T74" s="2"/>
      <c r="U74" s="305">
        <f>IF(D74="Please select",0,(((Start!$H$71/1000000)/Start!$W$71)*'1.Energy'!O74)-((O74*IF(H74&gt;0,H74/1000,I74/1000))+(R74*IF(K74&gt;0,K74/1000,L74/1000))))</f>
        <v>0</v>
      </c>
      <c r="V74" s="305"/>
      <c r="W74" s="305"/>
      <c r="X74" s="2"/>
    </row>
    <row r="75" spans="3:24" x14ac:dyDescent="0.2">
      <c r="C75" s="2"/>
      <c r="D75" s="318" t="s">
        <v>33</v>
      </c>
      <c r="E75" s="318"/>
      <c r="F75" s="318"/>
      <c r="G75" s="7"/>
      <c r="H75" s="133"/>
      <c r="I75" s="77">
        <v>37.79</v>
      </c>
      <c r="J75" s="3"/>
      <c r="K75" s="133"/>
      <c r="L75" s="315">
        <v>10.08</v>
      </c>
      <c r="M75" s="315"/>
      <c r="N75" s="3"/>
      <c r="O75" s="309">
        <v>0</v>
      </c>
      <c r="P75" s="309"/>
      <c r="Q75" s="12"/>
      <c r="R75" s="309">
        <v>0</v>
      </c>
      <c r="S75" s="309"/>
      <c r="T75" s="2"/>
      <c r="U75" s="311">
        <f>IF(D75="Please select",0,(((Start!$H$71/1000000)/Start!$W$71)*'1.Energy'!O75)-((O75*IF(H75&gt;0,H75/1000,I75/1000))+(R75*IF(K75&gt;0,K75/1000,L75/1000))))</f>
        <v>0</v>
      </c>
      <c r="V75" s="311"/>
      <c r="W75" s="311"/>
      <c r="X75" s="2"/>
    </row>
    <row r="76" spans="3:24" x14ac:dyDescent="0.2">
      <c r="C76" s="2"/>
      <c r="D76" s="5"/>
      <c r="E76" s="6"/>
      <c r="F76" s="6"/>
      <c r="G76" s="7"/>
      <c r="H76" s="3"/>
      <c r="I76" s="3"/>
      <c r="J76" s="3"/>
      <c r="K76" s="3"/>
      <c r="L76" s="3"/>
      <c r="M76" s="3"/>
      <c r="N76" s="3"/>
      <c r="O76" s="7"/>
      <c r="P76" s="2"/>
      <c r="Q76" s="12"/>
      <c r="R76" s="7"/>
      <c r="S76" s="2"/>
      <c r="T76" s="2"/>
      <c r="U76" s="306">
        <f>SUM(U70:W75)</f>
        <v>0</v>
      </c>
      <c r="V76" s="306"/>
      <c r="W76" s="306"/>
      <c r="X76" s="2"/>
    </row>
    <row r="77" spans="3:24" x14ac:dyDescent="0.2">
      <c r="C77" s="2"/>
      <c r="D77" s="75" t="s">
        <v>191</v>
      </c>
      <c r="E77" s="6"/>
      <c r="F77" s="6"/>
      <c r="G77" s="7"/>
      <c r="H77" s="3"/>
      <c r="I77" s="3"/>
      <c r="J77" s="3"/>
      <c r="K77" s="3"/>
      <c r="L77" s="3"/>
      <c r="M77" s="3"/>
      <c r="N77" s="3"/>
      <c r="O77" s="7"/>
      <c r="P77" s="2"/>
      <c r="Q77" s="2"/>
      <c r="R77" s="7"/>
      <c r="S77" s="2"/>
      <c r="T77" s="2"/>
      <c r="U77" s="305"/>
      <c r="V77" s="305"/>
      <c r="W77" s="305"/>
      <c r="X77" s="2"/>
    </row>
    <row r="78" spans="3:24" x14ac:dyDescent="0.2">
      <c r="C78" s="2"/>
      <c r="D78" s="75"/>
      <c r="E78" s="6"/>
      <c r="F78" s="6"/>
      <c r="G78" s="7"/>
      <c r="H78" s="3"/>
      <c r="I78" s="3"/>
      <c r="J78" s="3"/>
      <c r="K78" s="3"/>
      <c r="L78" s="3"/>
      <c r="M78" s="3"/>
      <c r="N78" s="7"/>
      <c r="O78" s="2"/>
      <c r="P78" s="2"/>
      <c r="Q78" s="2"/>
      <c r="R78" s="2"/>
      <c r="S78" s="2"/>
      <c r="T78" s="3"/>
      <c r="U78" s="305"/>
      <c r="V78" s="305"/>
      <c r="W78" s="305"/>
      <c r="X78" s="2"/>
    </row>
  </sheetData>
  <sheetProtection algorithmName="SHA-512" hashValue="YrSCi+2e3ygpEbFXcAeVlBxS/5E6WcjPNbEtS96b2TjHNRV8mSnetWqpa5dIOZDV1YBC+khicSJS2wz+3S8jcw==" saltValue="pjoUyyO2nJd7Pi95spptcA==" spinCount="100000" sheet="1" objects="1" scenarios="1" selectLockedCells="1"/>
  <protectedRanges>
    <protectedRange sqref="D16:F21 H16:I21 K16:M21 O16:O21 R16:R21 D34:F39 H34:I39 K34:M39 O34:O39 R34:R39 D52:F57 H52:I57 K52:M57 AJ52:AM57 AJ16:AM21" name="Range1_Energy"/>
  </protectedRanges>
  <mergeCells count="222">
    <mergeCell ref="D68:F69"/>
    <mergeCell ref="D70:F70"/>
    <mergeCell ref="D71:F71"/>
    <mergeCell ref="D72:F72"/>
    <mergeCell ref="D73:F73"/>
    <mergeCell ref="D74:F74"/>
    <mergeCell ref="D75:F75"/>
    <mergeCell ref="AB57:AC57"/>
    <mergeCell ref="AJ51:AK51"/>
    <mergeCell ref="AJ52:AK52"/>
    <mergeCell ref="AJ53:AK53"/>
    <mergeCell ref="AJ54:AK54"/>
    <mergeCell ref="AJ55:AK55"/>
    <mergeCell ref="AJ56:AK56"/>
    <mergeCell ref="AJ57:AK57"/>
    <mergeCell ref="Y57:Z57"/>
    <mergeCell ref="Q51:R51"/>
    <mergeCell ref="Q52:R52"/>
    <mergeCell ref="S52:T52"/>
    <mergeCell ref="Q53:R53"/>
    <mergeCell ref="S53:T53"/>
    <mergeCell ref="Q54:R54"/>
    <mergeCell ref="S54:T54"/>
    <mergeCell ref="Q55:R55"/>
    <mergeCell ref="S55:T55"/>
    <mergeCell ref="Q56:R56"/>
    <mergeCell ref="S56:T56"/>
    <mergeCell ref="Q57:R57"/>
    <mergeCell ref="S57:T57"/>
    <mergeCell ref="AH11:AN11"/>
    <mergeCell ref="AH47:AN47"/>
    <mergeCell ref="AJ49:AM50"/>
    <mergeCell ref="T49:Z50"/>
    <mergeCell ref="U57:V57"/>
    <mergeCell ref="W57:X57"/>
    <mergeCell ref="Z34:AB34"/>
    <mergeCell ref="Z35:AB35"/>
    <mergeCell ref="Z36:AB36"/>
    <mergeCell ref="Z37:AB37"/>
    <mergeCell ref="Z38:AB38"/>
    <mergeCell ref="Z39:AB39"/>
    <mergeCell ref="Y52:Z52"/>
    <mergeCell ref="Y53:Z53"/>
    <mergeCell ref="AA18:AB18"/>
    <mergeCell ref="AA21:AB21"/>
    <mergeCell ref="Y20:Z20"/>
    <mergeCell ref="Y21:Z21"/>
    <mergeCell ref="W20:X20"/>
    <mergeCell ref="K57:M57"/>
    <mergeCell ref="U51:V51"/>
    <mergeCell ref="W51:X51"/>
    <mergeCell ref="U52:V52"/>
    <mergeCell ref="W52:X52"/>
    <mergeCell ref="U53:V53"/>
    <mergeCell ref="W53:X53"/>
    <mergeCell ref="AB49:AC51"/>
    <mergeCell ref="AB52:AC52"/>
    <mergeCell ref="AB53:AC53"/>
    <mergeCell ref="AB54:AC54"/>
    <mergeCell ref="AB55:AC55"/>
    <mergeCell ref="AB56:AC56"/>
    <mergeCell ref="U56:V56"/>
    <mergeCell ref="W56:X56"/>
    <mergeCell ref="Y56:Z56"/>
    <mergeCell ref="W54:X54"/>
    <mergeCell ref="Y54:Z54"/>
    <mergeCell ref="U54:V54"/>
    <mergeCell ref="U55:V55"/>
    <mergeCell ref="W55:X55"/>
    <mergeCell ref="Y55:Z55"/>
    <mergeCell ref="Y51:Z51"/>
    <mergeCell ref="O49:R50"/>
    <mergeCell ref="K49:M51"/>
    <mergeCell ref="K52:M52"/>
    <mergeCell ref="K53:M53"/>
    <mergeCell ref="K54:M54"/>
    <mergeCell ref="K55:M55"/>
    <mergeCell ref="D53:F53"/>
    <mergeCell ref="D54:F54"/>
    <mergeCell ref="D55:F55"/>
    <mergeCell ref="K56:M56"/>
    <mergeCell ref="H39:I39"/>
    <mergeCell ref="D38:F38"/>
    <mergeCell ref="H38:I38"/>
    <mergeCell ref="O14:P14"/>
    <mergeCell ref="U15:V15"/>
    <mergeCell ref="D21:F21"/>
    <mergeCell ref="K16:M16"/>
    <mergeCell ref="D18:F18"/>
    <mergeCell ref="D19:F19"/>
    <mergeCell ref="D20:F20"/>
    <mergeCell ref="D16:F16"/>
    <mergeCell ref="O31:S31"/>
    <mergeCell ref="O32:P32"/>
    <mergeCell ref="H20:I20"/>
    <mergeCell ref="K20:M20"/>
    <mergeCell ref="U20:V20"/>
    <mergeCell ref="D35:F35"/>
    <mergeCell ref="H35:I35"/>
    <mergeCell ref="D34:F34"/>
    <mergeCell ref="H34:I34"/>
    <mergeCell ref="D37:F37"/>
    <mergeCell ref="H37:I37"/>
    <mergeCell ref="D36:F36"/>
    <mergeCell ref="H36:I36"/>
    <mergeCell ref="H18:I18"/>
    <mergeCell ref="K18:M18"/>
    <mergeCell ref="U18:V18"/>
    <mergeCell ref="W18:X18"/>
    <mergeCell ref="H14:I15"/>
    <mergeCell ref="D14:F15"/>
    <mergeCell ref="AC18:AD18"/>
    <mergeCell ref="Y18:Z18"/>
    <mergeCell ref="H19:I19"/>
    <mergeCell ref="K19:M19"/>
    <mergeCell ref="U19:V19"/>
    <mergeCell ref="W19:X19"/>
    <mergeCell ref="AA19:AB19"/>
    <mergeCell ref="AC19:AD19"/>
    <mergeCell ref="Y19:Z19"/>
    <mergeCell ref="Y16:Z16"/>
    <mergeCell ref="K14:M15"/>
    <mergeCell ref="Y17:Z17"/>
    <mergeCell ref="H21:I21"/>
    <mergeCell ref="K21:M21"/>
    <mergeCell ref="U21:V21"/>
    <mergeCell ref="W21:X21"/>
    <mergeCell ref="AC21:AD21"/>
    <mergeCell ref="AJ14:AM14"/>
    <mergeCell ref="D17:F17"/>
    <mergeCell ref="H17:I17"/>
    <mergeCell ref="K17:M17"/>
    <mergeCell ref="U17:V17"/>
    <mergeCell ref="W17:X17"/>
    <mergeCell ref="AA17:AB17"/>
    <mergeCell ref="AC17:AD17"/>
    <mergeCell ref="AC14:AD15"/>
    <mergeCell ref="AC16:AD16"/>
    <mergeCell ref="H16:I16"/>
    <mergeCell ref="R14:S14"/>
    <mergeCell ref="Y15:Z15"/>
    <mergeCell ref="W15:X15"/>
    <mergeCell ref="AA15:AB15"/>
    <mergeCell ref="U14:AB14"/>
    <mergeCell ref="U16:V16"/>
    <mergeCell ref="W16:X16"/>
    <mergeCell ref="AA16:AB16"/>
    <mergeCell ref="AA20:AB20"/>
    <mergeCell ref="AC20:AD20"/>
    <mergeCell ref="U31:Y32"/>
    <mergeCell ref="R32:S32"/>
    <mergeCell ref="W36:Y36"/>
    <mergeCell ref="W37:Y37"/>
    <mergeCell ref="W38:Y38"/>
    <mergeCell ref="W39:Y39"/>
    <mergeCell ref="U34:V34"/>
    <mergeCell ref="U35:V35"/>
    <mergeCell ref="U36:V36"/>
    <mergeCell ref="U37:V37"/>
    <mergeCell ref="U38:V38"/>
    <mergeCell ref="U39:V39"/>
    <mergeCell ref="D32:F33"/>
    <mergeCell ref="H32:I33"/>
    <mergeCell ref="H67:I68"/>
    <mergeCell ref="K67:M68"/>
    <mergeCell ref="L69:M69"/>
    <mergeCell ref="K31:M33"/>
    <mergeCell ref="K39:M39"/>
    <mergeCell ref="K38:M38"/>
    <mergeCell ref="K37:M37"/>
    <mergeCell ref="K36:M36"/>
    <mergeCell ref="K35:M35"/>
    <mergeCell ref="K34:M34"/>
    <mergeCell ref="H52:I52"/>
    <mergeCell ref="H53:I53"/>
    <mergeCell ref="H54:I54"/>
    <mergeCell ref="H55:I55"/>
    <mergeCell ref="H56:I56"/>
    <mergeCell ref="H50:I51"/>
    <mergeCell ref="H57:I57"/>
    <mergeCell ref="D52:F52"/>
    <mergeCell ref="D56:F56"/>
    <mergeCell ref="D57:F57"/>
    <mergeCell ref="D50:F51"/>
    <mergeCell ref="D39:F39"/>
    <mergeCell ref="L70:M70"/>
    <mergeCell ref="L71:M71"/>
    <mergeCell ref="L72:M72"/>
    <mergeCell ref="L73:M73"/>
    <mergeCell ref="L74:M74"/>
    <mergeCell ref="L75:M75"/>
    <mergeCell ref="O67:P69"/>
    <mergeCell ref="O70:P70"/>
    <mergeCell ref="O71:P71"/>
    <mergeCell ref="O72:P72"/>
    <mergeCell ref="O73:P73"/>
    <mergeCell ref="O74:P74"/>
    <mergeCell ref="O75:P75"/>
    <mergeCell ref="U78:W78"/>
    <mergeCell ref="AC22:AD23"/>
    <mergeCell ref="Z40:AB41"/>
    <mergeCell ref="AB58:AC59"/>
    <mergeCell ref="U76:W77"/>
    <mergeCell ref="R73:S73"/>
    <mergeCell ref="R74:S74"/>
    <mergeCell ref="R75:S75"/>
    <mergeCell ref="U67:W69"/>
    <mergeCell ref="U70:W70"/>
    <mergeCell ref="U71:W71"/>
    <mergeCell ref="U72:W72"/>
    <mergeCell ref="U73:W73"/>
    <mergeCell ref="U74:W74"/>
    <mergeCell ref="U75:W75"/>
    <mergeCell ref="R67:S69"/>
    <mergeCell ref="R70:S70"/>
    <mergeCell ref="R71:S71"/>
    <mergeCell ref="R72:S72"/>
    <mergeCell ref="U33:V33"/>
    <mergeCell ref="W33:Y33"/>
    <mergeCell ref="Z32:AB33"/>
    <mergeCell ref="W34:Y34"/>
    <mergeCell ref="W35:Y35"/>
  </mergeCells>
  <phoneticPr fontId="16" type="noConversion"/>
  <conditionalFormatting sqref="D14 D22:F24">
    <cfRule type="expression" dxfId="127" priority="42">
      <formula>#REF!="Other"</formula>
    </cfRule>
  </conditionalFormatting>
  <conditionalFormatting sqref="D14 D22:K24 K14 G16:G21 J16:K21 H14">
    <cfRule type="expression" dxfId="126" priority="43">
      <formula>IF(OR(#REF! = "Design", "Implementation", "Completed"), "", "if other, please specify")</formula>
    </cfRule>
  </conditionalFormatting>
  <conditionalFormatting sqref="D32 D40:F42">
    <cfRule type="expression" dxfId="125" priority="37">
      <formula>#REF!="Other"</formula>
    </cfRule>
  </conditionalFormatting>
  <conditionalFormatting sqref="D32 D40:K42 K31 G34:G39 J34:K39 H32">
    <cfRule type="expression" dxfId="124" priority="38">
      <formula>IF(OR(#REF! = "Design", "Implementation", "Completed"), "", "if other, please specify")</formula>
    </cfRule>
  </conditionalFormatting>
  <conditionalFormatting sqref="D50 D58:F60">
    <cfRule type="expression" dxfId="123" priority="25">
      <formula>#REF!="Other"</formula>
    </cfRule>
  </conditionalFormatting>
  <conditionalFormatting sqref="D50 D58:G60 G52:G57">
    <cfRule type="expression" dxfId="122" priority="26">
      <formula>IF(OR(#REF! = "Design", "Implementation", "Completed"), "", "if other, please specify")</formula>
    </cfRule>
  </conditionalFormatting>
  <conditionalFormatting sqref="D68 G70:G75 D76:G76 E77:G77 D78:G78">
    <cfRule type="expression" dxfId="121" priority="13">
      <formula>IF(OR(#REF! = "Design", "Implementation", "Completed"), "", "if other, please specify")</formula>
    </cfRule>
  </conditionalFormatting>
  <conditionalFormatting sqref="D68">
    <cfRule type="expression" dxfId="120" priority="12">
      <formula>#REF!="Other"</formula>
    </cfRule>
  </conditionalFormatting>
  <conditionalFormatting sqref="D77">
    <cfRule type="expression" dxfId="119" priority="7">
      <formula>IF(OR(#REF! = "Design", "Implementation", "Completed"), "", "if other, please specify")</formula>
    </cfRule>
  </conditionalFormatting>
  <conditionalFormatting sqref="D76:F78">
    <cfRule type="expression" dxfId="118" priority="6">
      <formula>#REF!="Other"</formula>
    </cfRule>
  </conditionalFormatting>
  <conditionalFormatting sqref="G52:G60">
    <cfRule type="expression" dxfId="117" priority="24">
      <formula>#REF!="Other"</formula>
    </cfRule>
  </conditionalFormatting>
  <conditionalFormatting sqref="G70:G78">
    <cfRule type="expression" dxfId="116" priority="11">
      <formula>#REF!="Other"</formula>
    </cfRule>
  </conditionalFormatting>
  <conditionalFormatting sqref="H14">
    <cfRule type="expression" dxfId="115" priority="40">
      <formula>#REF!="Other"</formula>
    </cfRule>
  </conditionalFormatting>
  <conditionalFormatting sqref="H32">
    <cfRule type="expression" dxfId="114" priority="35">
      <formula>#REF!="Other"</formula>
    </cfRule>
  </conditionalFormatting>
  <conditionalFormatting sqref="H50">
    <cfRule type="expression" dxfId="113" priority="18">
      <formula>#REF!="Other"</formula>
    </cfRule>
  </conditionalFormatting>
  <conditionalFormatting sqref="J52:J57 H58:J60 H50">
    <cfRule type="expression" dxfId="112" priority="20">
      <formula>IF(OR(#REF! = "Design", "Implementation", "Completed"), "", "if other, please specify")</formula>
    </cfRule>
  </conditionalFormatting>
  <conditionalFormatting sqref="J52:J57 H58:J60">
    <cfRule type="expression" dxfId="111" priority="19">
      <formula>#REF!="Other"</formula>
    </cfRule>
  </conditionalFormatting>
  <conditionalFormatting sqref="K14 G16:G21 J16:K21 G22:K24">
    <cfRule type="expression" dxfId="110" priority="41">
      <formula>#REF!="Other"</formula>
    </cfRule>
  </conditionalFormatting>
  <conditionalFormatting sqref="K14">
    <cfRule type="expression" dxfId="109" priority="39">
      <formula>#REF!="Other"</formula>
    </cfRule>
  </conditionalFormatting>
  <conditionalFormatting sqref="K31 G34:G39 J34:K39 G40:K42">
    <cfRule type="expression" dxfId="108" priority="36">
      <formula>#REF!="Other"</formula>
    </cfRule>
  </conditionalFormatting>
  <conditionalFormatting sqref="K31">
    <cfRule type="expression" dxfId="107" priority="34">
      <formula>#REF!="Other"</formula>
    </cfRule>
  </conditionalFormatting>
  <conditionalFormatting sqref="K49 K52:K60 O70:O77 N78">
    <cfRule type="expression" dxfId="106" priority="15">
      <formula>#REF!="Other"</formula>
    </cfRule>
    <cfRule type="expression" dxfId="105" priority="16">
      <formula>IF(OR(#REF! = "Design", "Implementation", "Completed"), "", "if other, please specify")</formula>
    </cfRule>
  </conditionalFormatting>
  <conditionalFormatting sqref="K49">
    <cfRule type="expression" dxfId="104" priority="14">
      <formula>#REF!="Other"</formula>
    </cfRule>
  </conditionalFormatting>
  <conditionalFormatting sqref="O41">
    <cfRule type="expression" dxfId="103" priority="32">
      <formula>#REF!="Other"</formula>
    </cfRule>
    <cfRule type="expression" dxfId="102" priority="33">
      <formula>IF(OR(#REF! = "Design", "Implementation", "Completed"), "", "if other, please specify")</formula>
    </cfRule>
  </conditionalFormatting>
  <conditionalFormatting sqref="O67">
    <cfRule type="expression" dxfId="101" priority="8">
      <formula>#REF!="Other"</formula>
    </cfRule>
    <cfRule type="expression" dxfId="100" priority="9">
      <formula>#REF!="Other"</formula>
    </cfRule>
    <cfRule type="expression" dxfId="99" priority="10">
      <formula>IF(OR(#REF! = "Design", "Implementation", "Completed"), "", "if other, please specify")</formula>
    </cfRule>
  </conditionalFormatting>
  <conditionalFormatting sqref="R67">
    <cfRule type="expression" dxfId="98" priority="1">
      <formula>#REF!="Other"</formula>
    </cfRule>
    <cfRule type="expression" dxfId="97" priority="2">
      <formula>#REF!="Other"</formula>
    </cfRule>
    <cfRule type="expression" dxfId="96" priority="3">
      <formula>IF(OR(#REF! = "Design", "Implementation", "Completed"), "", "if other, please specify")</formula>
    </cfRule>
  </conditionalFormatting>
  <conditionalFormatting sqref="R70:R77">
    <cfRule type="expression" dxfId="95" priority="4">
      <formula>#REF!="Other"</formula>
    </cfRule>
    <cfRule type="expression" dxfId="94" priority="5">
      <formula>IF(OR(#REF! = "Design", "Implementation", "Completed"), "", "if other, please specify")</formula>
    </cfRule>
  </conditionalFormatting>
  <dataValidations count="6">
    <dataValidation type="list" allowBlank="1" showInputMessage="1" showErrorMessage="1" sqref="H52:I52" xr:uid="{7598354A-0DD4-4D66-9DE1-0F2182441591}">
      <formula1>INDIRECT($D$52)</formula1>
    </dataValidation>
    <dataValidation type="list" allowBlank="1" showInputMessage="1" showErrorMessage="1" sqref="H53:I53" xr:uid="{1E6C95DA-2612-4E5B-B145-47ADF01009BB}">
      <formula1>INDIRECT($D$53)</formula1>
    </dataValidation>
    <dataValidation type="list" allowBlank="1" showInputMessage="1" showErrorMessage="1" sqref="H54:I54" xr:uid="{FE565270-2C14-452D-8F78-0DF2C20A34CF}">
      <formula1>INDIRECT($D$54)</formula1>
    </dataValidation>
    <dataValidation type="list" allowBlank="1" showInputMessage="1" showErrorMessage="1" sqref="H55:I55" xr:uid="{CC885C10-C62E-4FFF-BC8F-57C2A316DDC6}">
      <formula1>INDIRECT($D$55)</formula1>
    </dataValidation>
    <dataValidation type="list" allowBlank="1" showInputMessage="1" showErrorMessage="1" sqref="H56:I56" xr:uid="{ABDA3171-F7A0-4DB0-A6E0-77E965DB3834}">
      <formula1>INDIRECT($D$56)</formula1>
    </dataValidation>
    <dataValidation type="list" allowBlank="1" showInputMessage="1" showErrorMessage="1" sqref="H57:I57" xr:uid="{B0A112F1-CF5E-4670-974D-12AA4BAB2F8E}">
      <formula1>INDIRECT($D$57)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B929F89A-9703-4D12-AFF9-4330F7943869}">
            <xm:f>D52:D57=Sheet4!$I$6</xm:f>
            <x14:dxf>
              <fill>
                <patternFill patternType="lightDown"/>
              </fill>
            </x14:dxf>
          </x14:cfRule>
          <xm:sqref>H52:I57</xm:sqref>
        </x14:conditionalFormatting>
        <x14:conditionalFormatting xmlns:xm="http://schemas.microsoft.com/office/excel/2006/main">
          <x14:cfRule type="expression" priority="29" id="{E3169F26-2345-4D3E-9439-7DAEB202B876}">
            <xm:f>D34:D39=Sheet4!$G$8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P34:P39</xm:sqref>
        </x14:conditionalFormatting>
        <x14:conditionalFormatting xmlns:xm="http://schemas.microsoft.com/office/excel/2006/main">
          <x14:cfRule type="expression" priority="27" id="{422B5F5F-CB23-4C6C-BB30-F310B86C2775}">
            <xm:f>D34:D39=Sheet4!$G$8</xm:f>
            <x14:dxf>
              <font>
                <color theme="0"/>
              </font>
              <fill>
                <patternFill patternType="lightDown"/>
              </fill>
            </x14:dxf>
          </x14:cfRule>
          <x14:cfRule type="expression" priority="28" id="{D4B21ED4-F48E-447F-8CB7-87541D88BC43}">
            <xm:f>G34:G39=Sheet4!$G$8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S34:S39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3BBC674-01AA-40FD-91C5-353E524D74DC}">
          <x14:formula1>
            <xm:f>Sheet4!$E$6:$E$9</xm:f>
          </x14:formula1>
          <xm:sqref>H16:I21</xm:sqref>
        </x14:dataValidation>
        <x14:dataValidation type="list" allowBlank="1" showInputMessage="1" showErrorMessage="1" xr:uid="{D2A0E4C6-B986-4D96-AECA-7EDFD9ECC321}">
          <x14:formula1>
            <xm:f>Sheet4!$F$6:$F$10</xm:f>
          </x14:formula1>
          <xm:sqref>D17:F21</xm:sqref>
        </x14:dataValidation>
        <x14:dataValidation type="list" allowBlank="1" showInputMessage="1" showErrorMessage="1" xr:uid="{19DF8E0A-2FCE-4921-BC29-D619D8EB232E}">
          <x14:formula1>
            <xm:f>Sheet4!$F$6:$F$11</xm:f>
          </x14:formula1>
          <xm:sqref>D16:F16</xm:sqref>
        </x14:dataValidation>
        <x14:dataValidation type="list" allowBlank="1" showInputMessage="1" showErrorMessage="1" xr:uid="{C5CAC970-B645-484F-9A9B-A5E8BFD4AC38}">
          <x14:formula1>
            <xm:f>Sheet4!$G$6:$G$8</xm:f>
          </x14:formula1>
          <xm:sqref>D34:F39</xm:sqref>
        </x14:dataValidation>
        <x14:dataValidation type="list" allowBlank="1" showInputMessage="1" showErrorMessage="1" xr:uid="{2A18D758-57CE-4CC9-AB81-FC0CD9B2538A}">
          <x14:formula1>
            <xm:f>Sheet4!$H$6:$H$10</xm:f>
          </x14:formula1>
          <xm:sqref>H34:I39</xm:sqref>
        </x14:dataValidation>
        <x14:dataValidation type="list" allowBlank="1" showInputMessage="1" showErrorMessage="1" xr:uid="{B1B79466-4F1B-4ADB-A8FA-86E20BEE06C2}">
          <x14:formula1>
            <xm:f>Sheet4!$I$6:$I$8</xm:f>
          </x14:formula1>
          <xm:sqref>D52:F57</xm:sqref>
        </x14:dataValidation>
        <x14:dataValidation type="list" allowBlank="1" showInputMessage="1" showErrorMessage="1" xr:uid="{F072D017-29AE-44DB-AE87-E9C376BD60F6}">
          <x14:formula1>
            <xm:f>Sheet4!$L$6:$L$11</xm:f>
          </x14:formula1>
          <xm:sqref>D70:F75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1461D-CFCF-4842-B38E-FE90995F0338}">
  <sheetPr>
    <tabColor theme="3" tint="0.249977111117893"/>
  </sheetPr>
  <dimension ref="A1:AY60"/>
  <sheetViews>
    <sheetView showGridLines="0" zoomScale="90" zoomScaleNormal="9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11" sqref="B11"/>
    </sheetView>
  </sheetViews>
  <sheetFormatPr baseColWidth="10" defaultColWidth="8.83203125" defaultRowHeight="15" x14ac:dyDescent="0.2"/>
  <cols>
    <col min="1" max="1" width="8.83203125" style="1"/>
    <col min="2" max="2" width="8.83203125" style="91"/>
    <col min="3" max="3" width="6.33203125" style="91" customWidth="1"/>
    <col min="4" max="6" width="8.83203125" style="91"/>
    <col min="7" max="7" width="3.33203125" style="91" customWidth="1"/>
    <col min="8" max="8" width="10.83203125" style="91" customWidth="1"/>
    <col min="9" max="9" width="12.33203125" style="91" customWidth="1"/>
    <col min="10" max="10" width="3.33203125" style="91" customWidth="1"/>
    <col min="11" max="11" width="9.33203125" style="91" customWidth="1"/>
    <col min="12" max="12" width="7.33203125" style="91" customWidth="1"/>
    <col min="13" max="13" width="8.83203125" style="91"/>
    <col min="14" max="14" width="3.6640625" style="91" customWidth="1"/>
    <col min="15" max="15" width="16.6640625" style="91" customWidth="1"/>
    <col min="16" max="16" width="2.6640625" style="91" customWidth="1"/>
    <col min="17" max="17" width="19.33203125" style="91" customWidth="1"/>
    <col min="18" max="18" width="3.33203125" style="91" customWidth="1"/>
    <col min="19" max="19" width="11.1640625" style="91" customWidth="1"/>
    <col min="20" max="20" width="3.33203125" style="91" customWidth="1"/>
    <col min="21" max="21" width="10.6640625" style="91" customWidth="1"/>
    <col min="22" max="22" width="12.1640625" style="91" customWidth="1"/>
    <col min="23" max="23" width="2.6640625" style="91" customWidth="1"/>
    <col min="24" max="24" width="11.5" style="91" customWidth="1"/>
    <col min="25" max="25" width="11.6640625" style="91" customWidth="1"/>
    <col min="26" max="26" width="7.5" style="91" customWidth="1"/>
    <col min="27" max="27" width="7.33203125" style="91" customWidth="1"/>
    <col min="28" max="28" width="6.83203125" style="91" customWidth="1"/>
    <col min="29" max="29" width="5.5" style="91" customWidth="1"/>
    <col min="30" max="30" width="10.33203125" style="91" customWidth="1"/>
    <col min="31" max="31" width="6.33203125" style="91" customWidth="1"/>
    <col min="32" max="32" width="8.83203125" style="91"/>
    <col min="33" max="33" width="1.83203125" style="91" customWidth="1"/>
    <col min="34" max="34" width="24.83203125" style="91" customWidth="1"/>
    <col min="35" max="35" width="3" style="91" customWidth="1"/>
    <col min="36" max="36" width="10.33203125" style="91" customWidth="1"/>
    <col min="37" max="37" width="9.5" style="91" customWidth="1"/>
    <col min="38" max="38" width="10.5" style="91" customWidth="1"/>
    <col min="39" max="39" width="10.1640625" style="91" customWidth="1"/>
    <col min="40" max="40" width="2.33203125" style="91" customWidth="1"/>
    <col min="41" max="41" width="8.83203125" style="91"/>
    <col min="42" max="16384" width="8.83203125" style="1"/>
  </cols>
  <sheetData>
    <row r="1" spans="1:41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1:41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x14ac:dyDescent="0.2">
      <c r="A5" s="1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29.5" customHeight="1" x14ac:dyDescent="0.2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</row>
    <row r="7" spans="1:41" ht="29.5" customHeight="1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</row>
    <row r="8" spans="1:41" ht="14.5" customHeight="1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</row>
    <row r="9" spans="1:41" ht="14.5" customHeight="1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</row>
    <row r="10" spans="1:41" ht="14.5" customHeight="1" x14ac:dyDescent="0.2">
      <c r="B10" s="89" t="s">
        <v>42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</row>
    <row r="11" spans="1:41" ht="30" customHeight="1" x14ac:dyDescent="0.2">
      <c r="C11" s="78" t="s">
        <v>356</v>
      </c>
      <c r="D11" s="4" t="s">
        <v>197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41" ht="7.25" customHeight="1" x14ac:dyDescent="0.2"/>
    <row r="13" spans="1:41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112"/>
      <c r="AE13" s="112"/>
    </row>
    <row r="14" spans="1:41" ht="33" customHeight="1" x14ac:dyDescent="0.2">
      <c r="C14" s="2"/>
      <c r="D14" s="312" t="s">
        <v>192</v>
      </c>
      <c r="E14" s="312"/>
      <c r="F14" s="312"/>
      <c r="G14" s="2"/>
      <c r="H14" s="312" t="s">
        <v>198</v>
      </c>
      <c r="I14" s="312"/>
      <c r="J14" s="2"/>
      <c r="K14" s="312" t="s">
        <v>200</v>
      </c>
      <c r="L14" s="312"/>
      <c r="M14" s="312"/>
      <c r="N14" s="2"/>
      <c r="O14" s="310" t="s">
        <v>240</v>
      </c>
      <c r="P14" s="83"/>
      <c r="Q14" s="310" t="s">
        <v>252</v>
      </c>
      <c r="R14" s="83"/>
      <c r="S14" s="310" t="s">
        <v>241</v>
      </c>
      <c r="T14" s="83"/>
      <c r="U14" s="316" t="s">
        <v>237</v>
      </c>
      <c r="V14" s="316"/>
      <c r="W14" s="83"/>
      <c r="X14" s="316" t="s">
        <v>238</v>
      </c>
      <c r="Y14" s="316"/>
      <c r="Z14" s="310" t="s">
        <v>77</v>
      </c>
      <c r="AA14" s="310"/>
      <c r="AB14" s="310"/>
      <c r="AC14" s="83"/>
      <c r="AD14" s="113"/>
      <c r="AE14" s="113"/>
    </row>
    <row r="15" spans="1:41" ht="36" customHeight="1" x14ac:dyDescent="0.2">
      <c r="C15" s="2"/>
      <c r="D15" s="312"/>
      <c r="E15" s="312"/>
      <c r="F15" s="312"/>
      <c r="G15" s="12"/>
      <c r="H15" s="312"/>
      <c r="I15" s="312"/>
      <c r="J15" s="12"/>
      <c r="K15" s="312"/>
      <c r="L15" s="312"/>
      <c r="M15" s="312"/>
      <c r="N15" s="2"/>
      <c r="O15" s="310"/>
      <c r="P15" s="14"/>
      <c r="Q15" s="310"/>
      <c r="R15" s="14"/>
      <c r="S15" s="310"/>
      <c r="T15" s="14"/>
      <c r="U15" s="14" t="s">
        <v>90</v>
      </c>
      <c r="V15" s="14" t="s">
        <v>51</v>
      </c>
      <c r="W15" s="14"/>
      <c r="X15" s="14" t="s">
        <v>90</v>
      </c>
      <c r="Y15" s="14" t="s">
        <v>51</v>
      </c>
      <c r="Z15" s="310"/>
      <c r="AA15" s="310"/>
      <c r="AB15" s="310"/>
      <c r="AC15" s="17"/>
      <c r="AD15" s="114"/>
      <c r="AE15" s="114"/>
    </row>
    <row r="16" spans="1:41" ht="17" customHeight="1" x14ac:dyDescent="0.2">
      <c r="C16" s="2"/>
      <c r="D16" s="318" t="s">
        <v>33</v>
      </c>
      <c r="E16" s="318"/>
      <c r="F16" s="318"/>
      <c r="G16" s="7"/>
      <c r="H16" s="324" t="s">
        <v>199</v>
      </c>
      <c r="I16" s="324"/>
      <c r="J16" s="7"/>
      <c r="K16" s="309" t="s">
        <v>33</v>
      </c>
      <c r="L16" s="309"/>
      <c r="M16" s="309"/>
      <c r="N16" s="2"/>
      <c r="O16" s="137">
        <v>0</v>
      </c>
      <c r="P16" s="98"/>
      <c r="Q16" s="138" t="s">
        <v>33</v>
      </c>
      <c r="R16" s="98"/>
      <c r="S16" s="140"/>
      <c r="T16" s="98"/>
      <c r="U16" s="139"/>
      <c r="V16" s="99">
        <f>IF(Start!time_cap=Sheet4!$C$7,IF('2.Afforestation &amp; Reforestation'!K16=Sheet6!$G$4,Sheet6!$I$4,IF('2.Afforestation &amp; Reforestation'!K16=Sheet6!$G$5,Sheet6!$I$5,IF('2.Afforestation &amp; Reforestation'!K16=Sheet6!$G$6,Sheet6!$I$6,IF('2.Afforestation &amp; Reforestation'!K16=Sheet6!$G$7,Sheet6!$I$7,IF('2.Afforestation &amp; Reforestation'!K16=Sheet6!$G$8,Sheet6!$I$8,IF('2.Afforestation &amp; Reforestation'!K16=Sheet6!$G$9,Sheet6!$I$9,IF('2.Afforestation &amp; Reforestation'!K16=Sheet6!$G$10,Sheet6!$I$10,IF('2.Afforestation &amp; Reforestation'!K16=Sheet6!$G$11,Sheet6!$I$11,0)))))))),IF(OR(Start!time_cap=Sheet4!$C$8,Start!time_cap=Sheet4!$C$9),IF('2.Afforestation &amp; Reforestation'!K16=Sheet6!$G$4,Sheet6!$N$4,IF('2.Afforestation &amp; Reforestation'!K16=Sheet6!$G$5,Sheet6!$N$5,IF('2.Afforestation &amp; Reforestation'!K16=Sheet6!$G$6,Sheet6!$N$6,IF('2.Afforestation &amp; Reforestation'!K16=Sheet6!$G$7,Sheet6!$N$7,IF('2.Afforestation &amp; Reforestation'!K16=Sheet6!$G$8,Sheet6!$N$8,IF('2.Afforestation &amp; Reforestation'!K16=Sheet6!$G$9,Sheet6!$N$9,IF('2.Afforestation &amp; Reforestation'!K16=Sheet6!$G$10,Sheet6!$N$10,IF('2.Afforestation &amp; Reforestation'!K16=Sheet6!G11,Sheet6!N11,0)))))))),0))</f>
        <v>0</v>
      </c>
      <c r="W16" s="98"/>
      <c r="X16" s="139"/>
      <c r="Y16" s="99">
        <f>IF(Start!time_cap=Sheet4!$C$7,IF('2.Afforestation &amp; Reforestation'!K16=Sheet6!$G$4,Sheet6!$J$4,IF('2.Afforestation &amp; Reforestation'!K16=Sheet6!$G$5,Sheet6!$J$5,IF('2.Afforestation &amp; Reforestation'!K16=Sheet6!$G$6,Sheet6!$J$6,IF('2.Afforestation &amp; Reforestation'!K16=Sheet6!$G$7,Sheet6!$J$7,IF('2.Afforestation &amp; Reforestation'!K16=Sheet6!$G$8,Sheet6!$J$8,IF('2.Afforestation &amp; Reforestation'!K16=Sheet6!$G$9,Sheet6!$J$9,IF('2.Afforestation &amp; Reforestation'!K16=Sheet6!$G$10,Sheet6!$J$10,IF('2.Afforestation &amp; Reforestation'!K16=Sheet6!$G$11,Sheet6!$J$11,0)))))))),IF(OR(Start!time_cap=Sheet4!$C$8,Start!time_cap=Sheet4!$C$9),IF('2.Afforestation &amp; Reforestation'!K16=Sheet6!$G$4,Sheet6!$O$4,IF('2.Afforestation &amp; Reforestation'!K16=Sheet6!$G$5,Sheet6!$O$5,IF('2.Afforestation &amp; Reforestation'!K16=Sheet6!$G$6,Sheet6!$O$6,IF('2.Afforestation &amp; Reforestation'!K16=Sheet6!$G$7,Sheet6!$O$7,IF('2.Afforestation &amp; Reforestation'!K16=Sheet6!$G$8,Sheet6!$O$8,IF('2.Afforestation &amp; Reforestation'!K16=Sheet6!$G$9,Sheet6!$O$9,IF('2.Afforestation &amp; Reforestation'!K16=Sheet6!$G$10,Sheet6!$O$10,IF('2.Afforestation &amp; Reforestation'!K16=Sheet6!G11,Sheet6!O11,0)))))))),0))</f>
        <v>0</v>
      </c>
      <c r="Z16" s="305">
        <f>IF(OR(D16="Please select",K16="Please select"),0,((IF(U16&gt;0,U16,V16)*3.664*O16)+(IF(X16&gt;0,X16,Y16)*3.664*O16))+Sheet6!H37)</f>
        <v>0</v>
      </c>
      <c r="AA16" s="305"/>
      <c r="AB16" s="305"/>
      <c r="AC16" s="97"/>
      <c r="AD16" s="115"/>
      <c r="AE16" s="115"/>
    </row>
    <row r="17" spans="1:51" customFormat="1" ht="17" customHeight="1" x14ac:dyDescent="0.2">
      <c r="A17" s="1"/>
      <c r="B17" s="91"/>
      <c r="C17" s="2"/>
      <c r="D17" s="318" t="s">
        <v>33</v>
      </c>
      <c r="E17" s="318"/>
      <c r="F17" s="318"/>
      <c r="G17" s="7"/>
      <c r="H17" s="324" t="s">
        <v>199</v>
      </c>
      <c r="I17" s="324"/>
      <c r="J17" s="7"/>
      <c r="K17" s="309" t="s">
        <v>33</v>
      </c>
      <c r="L17" s="309"/>
      <c r="M17" s="309"/>
      <c r="N17" s="2"/>
      <c r="O17" s="137">
        <v>0</v>
      </c>
      <c r="P17" s="98"/>
      <c r="Q17" s="138" t="s">
        <v>33</v>
      </c>
      <c r="R17" s="98"/>
      <c r="S17" s="140">
        <v>0</v>
      </c>
      <c r="T17" s="98"/>
      <c r="U17" s="139"/>
      <c r="V17" s="99">
        <f>IF(Start!time_cap=Sheet4!$C$7,IF('2.Afforestation &amp; Reforestation'!K17=Sheet6!$G$4,Sheet6!$I$4,IF('2.Afforestation &amp; Reforestation'!K17=Sheet6!$G$5,Sheet6!$I$5,IF('2.Afforestation &amp; Reforestation'!K17=Sheet6!$G$6,Sheet6!$I$6,IF('2.Afforestation &amp; Reforestation'!K17=Sheet6!$G$7,Sheet6!$I$7,IF('2.Afforestation &amp; Reforestation'!K17=Sheet6!$G$8,Sheet6!$I$8,IF('2.Afforestation &amp; Reforestation'!K17=Sheet6!$G$9,Sheet6!$I$9,IF('2.Afforestation &amp; Reforestation'!K17=Sheet6!$G$10,Sheet6!$I$10,IF('2.Afforestation &amp; Reforestation'!K17=Sheet6!$G$11,Sheet6!$I$11,0)))))))),IF(OR(Start!time_cap=Sheet4!$C$8,Start!time_cap=Sheet4!$C$9),IF('2.Afforestation &amp; Reforestation'!K17=Sheet6!$G$4,Sheet6!$N$4,IF('2.Afforestation &amp; Reforestation'!K17=Sheet6!$G$5,Sheet6!$N$5,IF('2.Afforestation &amp; Reforestation'!K17=Sheet6!$G$6,Sheet6!$N$6,IF('2.Afforestation &amp; Reforestation'!K17=Sheet6!$G$7,Sheet6!$N$7,IF('2.Afforestation &amp; Reforestation'!K17=Sheet6!$G$8,Sheet6!$N$8,IF('2.Afforestation &amp; Reforestation'!K17=Sheet6!$G$9,Sheet6!$N$9,IF('2.Afforestation &amp; Reforestation'!K17=Sheet6!$G$10,Sheet6!$N$10,IF('2.Afforestation &amp; Reforestation'!K17=Sheet6!G12,Sheet6!N12,0)))))))),0))</f>
        <v>0</v>
      </c>
      <c r="W17" s="98"/>
      <c r="X17" s="139"/>
      <c r="Y17" s="99">
        <f>IF(Start!time_cap=Sheet4!$C$7,IF('2.Afforestation &amp; Reforestation'!K17=Sheet6!$G$4,Sheet6!$J$4,IF('2.Afforestation &amp; Reforestation'!K17=Sheet6!$G$5,Sheet6!$J$5,IF('2.Afforestation &amp; Reforestation'!K17=Sheet6!$G$6,Sheet6!$J$6,IF('2.Afforestation &amp; Reforestation'!K17=Sheet6!$G$7,Sheet6!$J$7,IF('2.Afforestation &amp; Reforestation'!K17=Sheet6!$G$8,Sheet6!$J$8,IF('2.Afforestation &amp; Reforestation'!K17=Sheet6!$G$9,Sheet6!$J$9,IF('2.Afforestation &amp; Reforestation'!K17=Sheet6!$G$10,Sheet6!$J$10,IF('2.Afforestation &amp; Reforestation'!K17=Sheet6!$G$11,Sheet6!$J$11,0)))))))),IF(OR(Start!time_cap=Sheet4!$C$8,Start!time_cap=Sheet4!$C$9),IF('2.Afforestation &amp; Reforestation'!K17=Sheet6!$G$4,Sheet6!$O$4,IF('2.Afforestation &amp; Reforestation'!K17=Sheet6!$G$5,Sheet6!$O$5,IF('2.Afforestation &amp; Reforestation'!K17=Sheet6!$G$6,Sheet6!$O$6,IF('2.Afforestation &amp; Reforestation'!K17=Sheet6!$G$7,Sheet6!$O$7,IF('2.Afforestation &amp; Reforestation'!K17=Sheet6!$G$8,Sheet6!$O$8,IF('2.Afforestation &amp; Reforestation'!K17=Sheet6!$G$9,Sheet6!$O$9,IF('2.Afforestation &amp; Reforestation'!K17=Sheet6!$G$10,Sheet6!$O$10,IF('2.Afforestation &amp; Reforestation'!K17=Sheet6!G12,Sheet6!O12,0)))))))),0))</f>
        <v>0</v>
      </c>
      <c r="Z17" s="305">
        <f>IF(OR(D17="Please select",K17="Please select"),0,((IF(U17&gt;0,U17,V17)*3.664*O17)+(IF(X17&gt;0,X17,Y17)*3.664*O17))+Sheet6!H38)</f>
        <v>0</v>
      </c>
      <c r="AA17" s="305"/>
      <c r="AB17" s="305"/>
      <c r="AC17" s="97"/>
      <c r="AD17" s="115"/>
      <c r="AE17" s="115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customFormat="1" ht="17" customHeight="1" x14ac:dyDescent="0.2">
      <c r="A18" s="1"/>
      <c r="B18" s="91"/>
      <c r="C18" s="2"/>
      <c r="D18" s="318" t="s">
        <v>33</v>
      </c>
      <c r="E18" s="318"/>
      <c r="F18" s="318"/>
      <c r="G18" s="7"/>
      <c r="H18" s="324" t="s">
        <v>199</v>
      </c>
      <c r="I18" s="324"/>
      <c r="J18" s="7"/>
      <c r="K18" s="309" t="s">
        <v>33</v>
      </c>
      <c r="L18" s="309"/>
      <c r="M18" s="309"/>
      <c r="N18" s="2"/>
      <c r="O18" s="137">
        <v>0</v>
      </c>
      <c r="P18" s="98"/>
      <c r="Q18" s="138" t="s">
        <v>33</v>
      </c>
      <c r="R18" s="98"/>
      <c r="S18" s="140"/>
      <c r="T18" s="98"/>
      <c r="U18" s="139"/>
      <c r="V18" s="99">
        <f>IF(Start!time_cap=Sheet4!$C$7,IF('2.Afforestation &amp; Reforestation'!K18=Sheet6!$G$4,Sheet6!$I$4,IF('2.Afforestation &amp; Reforestation'!K18=Sheet6!$G$5,Sheet6!$I$5,IF('2.Afforestation &amp; Reforestation'!K18=Sheet6!$G$6,Sheet6!$I$6,IF('2.Afforestation &amp; Reforestation'!K18=Sheet6!$G$7,Sheet6!$I$7,IF('2.Afforestation &amp; Reforestation'!K18=Sheet6!$G$8,Sheet6!$I$8,IF('2.Afforestation &amp; Reforestation'!K18=Sheet6!$G$9,Sheet6!$I$9,IF('2.Afforestation &amp; Reforestation'!K18=Sheet6!$G$10,Sheet6!$I$10,IF('2.Afforestation &amp; Reforestation'!K18=Sheet6!$G$11,Sheet6!$I$11,0)))))))),IF(OR(Start!time_cap=Sheet4!$C$8,Start!time_cap=Sheet4!$C$9),IF('2.Afforestation &amp; Reforestation'!K18=Sheet6!$G$4,Sheet6!$N$4,IF('2.Afforestation &amp; Reforestation'!K18=Sheet6!$G$5,Sheet6!$N$5,IF('2.Afforestation &amp; Reforestation'!K18=Sheet6!$G$6,Sheet6!$N$6,IF('2.Afforestation &amp; Reforestation'!K18=Sheet6!$G$7,Sheet6!$N$7,IF('2.Afforestation &amp; Reforestation'!K18=Sheet6!$G$8,Sheet6!$N$8,IF('2.Afforestation &amp; Reforestation'!K18=Sheet6!$G$9,Sheet6!$N$9,IF('2.Afforestation &amp; Reforestation'!K18=Sheet6!$G$10,Sheet6!$N$10,IF('2.Afforestation &amp; Reforestation'!K18=Sheet6!G13,Sheet6!N13,0)))))))),0))</f>
        <v>0</v>
      </c>
      <c r="W18" s="98"/>
      <c r="X18" s="139"/>
      <c r="Y18" s="99">
        <f>IF(Start!time_cap=Sheet4!$C$7,IF('2.Afforestation &amp; Reforestation'!K18=Sheet6!$G$4,Sheet6!$J$4,IF('2.Afforestation &amp; Reforestation'!K18=Sheet6!$G$5,Sheet6!$J$5,IF('2.Afforestation &amp; Reforestation'!K18=Sheet6!$G$6,Sheet6!$J$6,IF('2.Afforestation &amp; Reforestation'!K18=Sheet6!$G$7,Sheet6!$J$7,IF('2.Afforestation &amp; Reforestation'!K18=Sheet6!$G$8,Sheet6!$J$8,IF('2.Afforestation &amp; Reforestation'!K18=Sheet6!$G$9,Sheet6!$J$9,IF('2.Afforestation &amp; Reforestation'!K18=Sheet6!$G$10,Sheet6!$J$10,IF('2.Afforestation &amp; Reforestation'!K18=Sheet6!$G$11,Sheet6!$J$11,0)))))))),IF(OR(Start!time_cap=Sheet4!$C$8,Start!time_cap=Sheet4!$C$9),IF('2.Afforestation &amp; Reforestation'!K18=Sheet6!$G$4,Sheet6!$O$4,IF('2.Afforestation &amp; Reforestation'!K18=Sheet6!$G$5,Sheet6!$O$5,IF('2.Afforestation &amp; Reforestation'!K18=Sheet6!$G$6,Sheet6!$O$6,IF('2.Afforestation &amp; Reforestation'!K18=Sheet6!$G$7,Sheet6!$O$7,IF('2.Afforestation &amp; Reforestation'!K18=Sheet6!$G$8,Sheet6!$O$8,IF('2.Afforestation &amp; Reforestation'!K18=Sheet6!$G$9,Sheet6!$O$9,IF('2.Afforestation &amp; Reforestation'!K18=Sheet6!$G$10,Sheet6!$O$10,IF('2.Afforestation &amp; Reforestation'!K18=Sheet6!G13,Sheet6!O13,0)))))))),0))</f>
        <v>0</v>
      </c>
      <c r="Z18" s="305">
        <f>IF(OR(D18="Please select",K18="Please select"),0,((IF(U18&gt;0,U18,V18)*3.664*O18)+(IF(X18&gt;0,X18,Y18)*3.664*O18))+Sheet6!H39)</f>
        <v>0</v>
      </c>
      <c r="AA18" s="305"/>
      <c r="AB18" s="305"/>
      <c r="AC18" s="97"/>
      <c r="AD18" s="115"/>
      <c r="AE18" s="115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customFormat="1" ht="17" customHeight="1" x14ac:dyDescent="0.2">
      <c r="A19" s="1"/>
      <c r="B19" s="91"/>
      <c r="C19" s="2"/>
      <c r="D19" s="318" t="s">
        <v>33</v>
      </c>
      <c r="E19" s="318"/>
      <c r="F19" s="318"/>
      <c r="G19" s="7"/>
      <c r="H19" s="324" t="s">
        <v>199</v>
      </c>
      <c r="I19" s="324"/>
      <c r="J19" s="7"/>
      <c r="K19" s="309" t="s">
        <v>33</v>
      </c>
      <c r="L19" s="309"/>
      <c r="M19" s="309"/>
      <c r="N19" s="2"/>
      <c r="O19" s="137">
        <v>0</v>
      </c>
      <c r="P19" s="98"/>
      <c r="Q19" s="138" t="s">
        <v>33</v>
      </c>
      <c r="R19" s="98"/>
      <c r="S19" s="140"/>
      <c r="T19" s="98"/>
      <c r="U19" s="139"/>
      <c r="V19" s="99">
        <f>IF(Start!time_cap=Sheet4!$C$7,IF('2.Afforestation &amp; Reforestation'!K19=Sheet6!$G$4,Sheet6!$I$4,IF('2.Afforestation &amp; Reforestation'!K19=Sheet6!$G$5,Sheet6!$I$5,IF('2.Afforestation &amp; Reforestation'!K19=Sheet6!$G$6,Sheet6!$I$6,IF('2.Afforestation &amp; Reforestation'!K19=Sheet6!$G$7,Sheet6!$I$7,IF('2.Afforestation &amp; Reforestation'!K19=Sheet6!$G$8,Sheet6!$I$8,IF('2.Afforestation &amp; Reforestation'!K19=Sheet6!$G$9,Sheet6!$I$9,IF('2.Afforestation &amp; Reforestation'!K19=Sheet6!$G$10,Sheet6!$I$10,IF('2.Afforestation &amp; Reforestation'!K19=Sheet6!$G$11,Sheet6!$I$11,0)))))))),IF(OR(Start!time_cap=Sheet4!$C$8,Start!time_cap=Sheet4!$C$9),IF('2.Afforestation &amp; Reforestation'!K19=Sheet6!$G$4,Sheet6!$N$4,IF('2.Afforestation &amp; Reforestation'!K19=Sheet6!$G$5,Sheet6!$N$5,IF('2.Afforestation &amp; Reforestation'!K19=Sheet6!$G$6,Sheet6!$N$6,IF('2.Afforestation &amp; Reforestation'!K19=Sheet6!$G$7,Sheet6!$N$7,IF('2.Afforestation &amp; Reforestation'!K19=Sheet6!$G$8,Sheet6!$N$8,IF('2.Afforestation &amp; Reforestation'!K19=Sheet6!$G$9,Sheet6!$N$9,IF('2.Afforestation &amp; Reforestation'!K19=Sheet6!$G$10,Sheet6!$N$10,IF('2.Afforestation &amp; Reforestation'!K19=Sheet6!G14,Sheet6!N14,0)))))))),0))</f>
        <v>0</v>
      </c>
      <c r="W19" s="98"/>
      <c r="X19" s="139"/>
      <c r="Y19" s="99">
        <f>IF(Start!time_cap=Sheet4!$C$7,IF('2.Afforestation &amp; Reforestation'!K19=Sheet6!$G$4,Sheet6!$J$4,IF('2.Afforestation &amp; Reforestation'!K19=Sheet6!$G$5,Sheet6!$J$5,IF('2.Afforestation &amp; Reforestation'!K19=Sheet6!$G$6,Sheet6!$J$6,IF('2.Afforestation &amp; Reforestation'!K19=Sheet6!$G$7,Sheet6!$J$7,IF('2.Afforestation &amp; Reforestation'!K19=Sheet6!$G$8,Sheet6!$J$8,IF('2.Afforestation &amp; Reforestation'!K19=Sheet6!$G$9,Sheet6!$J$9,IF('2.Afforestation &amp; Reforestation'!K19=Sheet6!$G$10,Sheet6!$J$10,IF('2.Afforestation &amp; Reforestation'!K19=Sheet6!$G$11,Sheet6!$J$11,0)))))))),IF(OR(Start!time_cap=Sheet4!$C$8,Start!time_cap=Sheet4!$C$9),IF('2.Afforestation &amp; Reforestation'!K19=Sheet6!$G$4,Sheet6!$O$4,IF('2.Afforestation &amp; Reforestation'!K19=Sheet6!$G$5,Sheet6!$O$5,IF('2.Afforestation &amp; Reforestation'!K19=Sheet6!$G$6,Sheet6!$O$6,IF('2.Afforestation &amp; Reforestation'!K19=Sheet6!$G$7,Sheet6!$O$7,IF('2.Afforestation &amp; Reforestation'!K19=Sheet6!$G$8,Sheet6!$O$8,IF('2.Afforestation &amp; Reforestation'!K19=Sheet6!$G$9,Sheet6!$O$9,IF('2.Afforestation &amp; Reforestation'!K19=Sheet6!$G$10,Sheet6!$O$10,IF('2.Afforestation &amp; Reforestation'!K19=Sheet6!G14,Sheet6!O14,0)))))))),0))</f>
        <v>0</v>
      </c>
      <c r="Z19" s="305">
        <f>IF(OR(D19="Please select",K19="Please select"),0,((IF(U19&gt;0,U19,V19)*3.664*O19)+(IF(X19&gt;0,X19,Y19)*3.664*O19))+Sheet6!H40)</f>
        <v>0</v>
      </c>
      <c r="AA19" s="305"/>
      <c r="AB19" s="305"/>
      <c r="AC19" s="97"/>
      <c r="AD19" s="115"/>
      <c r="AE19" s="115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customFormat="1" ht="17" customHeight="1" x14ac:dyDescent="0.2">
      <c r="A20" s="1"/>
      <c r="B20" s="91"/>
      <c r="C20" s="2"/>
      <c r="D20" s="318" t="s">
        <v>33</v>
      </c>
      <c r="E20" s="318"/>
      <c r="F20" s="318"/>
      <c r="G20" s="7"/>
      <c r="H20" s="324" t="s">
        <v>199</v>
      </c>
      <c r="I20" s="324"/>
      <c r="J20" s="7"/>
      <c r="K20" s="309" t="s">
        <v>33</v>
      </c>
      <c r="L20" s="309"/>
      <c r="M20" s="309"/>
      <c r="N20" s="2"/>
      <c r="O20" s="137">
        <v>0</v>
      </c>
      <c r="P20" s="98"/>
      <c r="Q20" s="138" t="s">
        <v>33</v>
      </c>
      <c r="R20" s="98"/>
      <c r="S20" s="140"/>
      <c r="T20" s="98"/>
      <c r="U20" s="139"/>
      <c r="V20" s="99">
        <f>IF(Start!time_cap=Sheet4!$C$7,IF('2.Afforestation &amp; Reforestation'!K20=Sheet6!$G$4,Sheet6!$I$4,IF('2.Afforestation &amp; Reforestation'!K20=Sheet6!$G$5,Sheet6!$I$5,IF('2.Afforestation &amp; Reforestation'!K20=Sheet6!$G$6,Sheet6!$I$6,IF('2.Afforestation &amp; Reforestation'!K20=Sheet6!$G$7,Sheet6!$I$7,IF('2.Afforestation &amp; Reforestation'!K20=Sheet6!$G$8,Sheet6!$I$8,IF('2.Afforestation &amp; Reforestation'!K20=Sheet6!$G$9,Sheet6!$I$9,IF('2.Afforestation &amp; Reforestation'!K20=Sheet6!$G$10,Sheet6!$I$10,IF('2.Afforestation &amp; Reforestation'!K20=Sheet6!$G$11,Sheet6!$I$11,0)))))))),IF(OR(Start!time_cap=Sheet4!$C$8,Start!time_cap=Sheet4!$C$9),IF('2.Afforestation &amp; Reforestation'!K20=Sheet6!$G$4,Sheet6!$N$4,IF('2.Afforestation &amp; Reforestation'!K20=Sheet6!$G$5,Sheet6!$N$5,IF('2.Afforestation &amp; Reforestation'!K20=Sheet6!$G$6,Sheet6!$N$6,IF('2.Afforestation &amp; Reforestation'!K20=Sheet6!$G$7,Sheet6!$N$7,IF('2.Afforestation &amp; Reforestation'!K20=Sheet6!$G$8,Sheet6!$N$8,IF('2.Afforestation &amp; Reforestation'!K20=Sheet6!$G$9,Sheet6!$N$9,IF('2.Afforestation &amp; Reforestation'!K20=Sheet6!$G$10,Sheet6!$N$10,IF('2.Afforestation &amp; Reforestation'!K20=Sheet6!G15,Sheet6!N15,0)))))))),0))</f>
        <v>0</v>
      </c>
      <c r="W20" s="98"/>
      <c r="X20" s="139"/>
      <c r="Y20" s="99">
        <f>IF(Start!time_cap=Sheet4!$C$7,IF('2.Afforestation &amp; Reforestation'!K20=Sheet6!$G$4,Sheet6!$J$4,IF('2.Afforestation &amp; Reforestation'!K20=Sheet6!$G$5,Sheet6!$J$5,IF('2.Afforestation &amp; Reforestation'!K20=Sheet6!$G$6,Sheet6!$J$6,IF('2.Afforestation &amp; Reforestation'!K20=Sheet6!$G$7,Sheet6!$J$7,IF('2.Afforestation &amp; Reforestation'!K20=Sheet6!$G$8,Sheet6!$J$8,IF('2.Afforestation &amp; Reforestation'!K20=Sheet6!$G$9,Sheet6!$J$9,IF('2.Afforestation &amp; Reforestation'!K20=Sheet6!$G$10,Sheet6!$J$10,IF('2.Afforestation &amp; Reforestation'!K20=Sheet6!$G$11,Sheet6!$J$11,0)))))))),IF(OR(Start!time_cap=Sheet4!$C$8,Start!time_cap=Sheet4!$C$9),IF('2.Afforestation &amp; Reforestation'!K20=Sheet6!$G$4,Sheet6!$O$4,IF('2.Afforestation &amp; Reforestation'!K20=Sheet6!$G$5,Sheet6!$O$5,IF('2.Afforestation &amp; Reforestation'!K20=Sheet6!$G$6,Sheet6!$O$6,IF('2.Afforestation &amp; Reforestation'!K20=Sheet6!$G$7,Sheet6!$O$7,IF('2.Afforestation &amp; Reforestation'!K20=Sheet6!$G$8,Sheet6!$O$8,IF('2.Afforestation &amp; Reforestation'!K20=Sheet6!$G$9,Sheet6!$O$9,IF('2.Afforestation &amp; Reforestation'!K20=Sheet6!$G$10,Sheet6!$O$10,IF('2.Afforestation &amp; Reforestation'!K20=Sheet6!G15,Sheet6!O15,0)))))))),0))</f>
        <v>0</v>
      </c>
      <c r="Z20" s="305">
        <f>IF(OR(D20="Please select",K20="Please select"),0,((IF(U20&gt;0,U20,V20)*3.664*O20)+(IF(X20&gt;0,X20,Y20)*3.664*O20))+Sheet6!H41)</f>
        <v>0</v>
      </c>
      <c r="AA20" s="305"/>
      <c r="AB20" s="305"/>
      <c r="AC20" s="97"/>
      <c r="AD20" s="115"/>
      <c r="AE20" s="115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customFormat="1" ht="17" customHeight="1" x14ac:dyDescent="0.2">
      <c r="A21" s="1"/>
      <c r="B21" s="91"/>
      <c r="C21" s="2"/>
      <c r="D21" s="318" t="s">
        <v>33</v>
      </c>
      <c r="E21" s="318"/>
      <c r="F21" s="318"/>
      <c r="G21" s="7"/>
      <c r="H21" s="324" t="s">
        <v>199</v>
      </c>
      <c r="I21" s="324"/>
      <c r="J21" s="7"/>
      <c r="K21" s="309" t="s">
        <v>33</v>
      </c>
      <c r="L21" s="309"/>
      <c r="M21" s="309"/>
      <c r="N21" s="2"/>
      <c r="O21" s="137">
        <v>0</v>
      </c>
      <c r="P21" s="98"/>
      <c r="Q21" s="138" t="s">
        <v>33</v>
      </c>
      <c r="R21" s="98"/>
      <c r="S21" s="140"/>
      <c r="T21" s="98"/>
      <c r="U21" s="139"/>
      <c r="V21" s="99">
        <f>IF(Start!time_cap=Sheet4!$C$7,IF('2.Afforestation &amp; Reforestation'!K21=Sheet6!$G$4,Sheet6!$I$4,IF('2.Afforestation &amp; Reforestation'!K21=Sheet6!$G$5,Sheet6!$I$5,IF('2.Afforestation &amp; Reforestation'!K21=Sheet6!$G$6,Sheet6!$I$6,IF('2.Afforestation &amp; Reforestation'!K21=Sheet6!$G$7,Sheet6!$I$7,IF('2.Afforestation &amp; Reforestation'!K21=Sheet6!$G$8,Sheet6!$I$8,IF('2.Afforestation &amp; Reforestation'!K21=Sheet6!$G$9,Sheet6!$I$9,IF('2.Afforestation &amp; Reforestation'!K21=Sheet6!$G$10,Sheet6!$I$10,IF('2.Afforestation &amp; Reforestation'!K21=Sheet6!$G$11,Sheet6!$I$11,0)))))))),IF(OR(Start!time_cap=Sheet4!$C$8,Start!time_cap=Sheet4!$C$9),IF('2.Afforestation &amp; Reforestation'!K21=Sheet6!$G$4,Sheet6!$N$4,IF('2.Afforestation &amp; Reforestation'!K21=Sheet6!$G$5,Sheet6!$N$5,IF('2.Afforestation &amp; Reforestation'!K21=Sheet6!$G$6,Sheet6!$N$6,IF('2.Afforestation &amp; Reforestation'!K21=Sheet6!$G$7,Sheet6!$N$7,IF('2.Afforestation &amp; Reforestation'!K21=Sheet6!$G$8,Sheet6!$N$8,IF('2.Afforestation &amp; Reforestation'!K21=Sheet6!$G$9,Sheet6!$N$9,IF('2.Afforestation &amp; Reforestation'!K21=Sheet6!$G$10,Sheet6!$N$10,IF('2.Afforestation &amp; Reforestation'!K21=Sheet6!G16,Sheet6!N16,0)))))))),0))</f>
        <v>0</v>
      </c>
      <c r="W21" s="98"/>
      <c r="X21" s="139"/>
      <c r="Y21" s="99">
        <f>IF(Start!time_cap=Sheet4!$C$7,IF('2.Afforestation &amp; Reforestation'!K21=Sheet6!$G$4,Sheet6!$J$4,IF('2.Afforestation &amp; Reforestation'!K21=Sheet6!$G$5,Sheet6!$J$5,IF('2.Afforestation &amp; Reforestation'!K21=Sheet6!$G$6,Sheet6!$J$6,IF('2.Afforestation &amp; Reforestation'!K21=Sheet6!$G$7,Sheet6!$J$7,IF('2.Afforestation &amp; Reforestation'!K21=Sheet6!$G$8,Sheet6!$J$8,IF('2.Afforestation &amp; Reforestation'!K21=Sheet6!$G$9,Sheet6!$J$9,IF('2.Afforestation &amp; Reforestation'!K21=Sheet6!$G$10,Sheet6!$J$10,IF('2.Afforestation &amp; Reforestation'!K21=Sheet6!$G$11,Sheet6!$J$11,0)))))))),IF(OR(Start!time_cap=Sheet4!$C$8,Start!time_cap=Sheet4!$C$9),IF('2.Afforestation &amp; Reforestation'!K21=Sheet6!$G$4,Sheet6!$O$4,IF('2.Afforestation &amp; Reforestation'!K21=Sheet6!$G$5,Sheet6!$O$5,IF('2.Afforestation &amp; Reforestation'!K21=Sheet6!$G$6,Sheet6!$O$6,IF('2.Afforestation &amp; Reforestation'!K21=Sheet6!$G$7,Sheet6!$O$7,IF('2.Afforestation &amp; Reforestation'!K21=Sheet6!$G$8,Sheet6!$O$8,IF('2.Afforestation &amp; Reforestation'!K21=Sheet6!$G$9,Sheet6!$O$9,IF('2.Afforestation &amp; Reforestation'!K21=Sheet6!$G$10,Sheet6!$O$10,IF('2.Afforestation &amp; Reforestation'!K21=Sheet6!G16,Sheet6!O16,0)))))))),0))</f>
        <v>0</v>
      </c>
      <c r="Z21" s="311">
        <f>IF(OR(D21="Please select",K21="Please select"),0,((IF(U21&gt;0,U21,V21)*3.664*O21)+(IF(X21&gt;0,X21,Y21)*3.664*O21))+Sheet6!H42)</f>
        <v>0</v>
      </c>
      <c r="AA21" s="311"/>
      <c r="AB21" s="311"/>
      <c r="AC21" s="97"/>
      <c r="AD21" s="115"/>
      <c r="AE21" s="115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customFormat="1" x14ac:dyDescent="0.2">
      <c r="A22" s="1"/>
      <c r="B22" s="91"/>
      <c r="C22" s="2"/>
      <c r="D22" s="5"/>
      <c r="E22" s="6"/>
      <c r="F22" s="6"/>
      <c r="G22" s="7"/>
      <c r="H22" s="7"/>
      <c r="I22" s="7"/>
      <c r="J22" s="7"/>
      <c r="K22" s="7"/>
      <c r="L22" s="2"/>
      <c r="M22" s="2"/>
      <c r="N22" s="2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05">
        <f>SUM(Z16:AB21)</f>
        <v>0</v>
      </c>
      <c r="AA22" s="308"/>
      <c r="AB22" s="308"/>
      <c r="AC22" s="3"/>
      <c r="AD22" s="112"/>
      <c r="AE22" s="112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customFormat="1" x14ac:dyDescent="0.2">
      <c r="A23" s="1"/>
      <c r="B23" s="91"/>
      <c r="C23" s="2"/>
      <c r="D23" s="75"/>
      <c r="E23" s="6"/>
      <c r="F23" s="6"/>
      <c r="G23" s="7"/>
      <c r="H23" s="7"/>
      <c r="I23" s="7"/>
      <c r="J23" s="7"/>
      <c r="K23" s="7"/>
      <c r="L23" s="2"/>
      <c r="M23" s="2"/>
      <c r="N23" s="2"/>
      <c r="O23" s="3"/>
      <c r="P23" s="3"/>
      <c r="Q23" s="3"/>
      <c r="R23" s="3"/>
      <c r="S23" s="3"/>
      <c r="T23" s="3"/>
      <c r="U23" s="3"/>
      <c r="V23" s="3"/>
      <c r="W23" s="3"/>
      <c r="X23" s="75"/>
      <c r="Y23" s="3"/>
      <c r="Z23" s="308"/>
      <c r="AA23" s="308"/>
      <c r="AB23" s="308"/>
      <c r="AC23" s="3"/>
      <c r="AD23" s="112"/>
      <c r="AE23" s="112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customFormat="1" x14ac:dyDescent="0.2">
      <c r="A24" s="1"/>
      <c r="B24" s="91"/>
      <c r="C24" s="2"/>
      <c r="D24" s="75"/>
      <c r="E24" s="6"/>
      <c r="F24" s="6"/>
      <c r="G24" s="7"/>
      <c r="H24" s="7"/>
      <c r="I24" s="7"/>
      <c r="J24" s="7"/>
      <c r="K24" s="7"/>
      <c r="L24" s="2"/>
      <c r="M24" s="2"/>
      <c r="N24" s="2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112"/>
      <c r="AE24" s="112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9" spans="1:51" customFormat="1" ht="30" customHeight="1" x14ac:dyDescent="0.2">
      <c r="A29" s="1"/>
      <c r="B29" s="91"/>
      <c r="C29" s="78" t="s">
        <v>357</v>
      </c>
      <c r="D29" s="4" t="s">
        <v>239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customFormat="1" ht="7.25" customHeight="1" x14ac:dyDescent="0.2">
      <c r="A30" s="1"/>
      <c r="B30" s="91"/>
      <c r="C30" s="91"/>
      <c r="D30" s="92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x14ac:dyDescent="0.2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112"/>
      <c r="AE31" s="112"/>
    </row>
    <row r="32" spans="1:51" ht="33" customHeight="1" x14ac:dyDescent="0.2">
      <c r="C32" s="2"/>
      <c r="D32" s="312" t="s">
        <v>192</v>
      </c>
      <c r="E32" s="312"/>
      <c r="F32" s="312"/>
      <c r="G32" s="2"/>
      <c r="H32" s="312" t="s">
        <v>198</v>
      </c>
      <c r="I32" s="312"/>
      <c r="J32" s="2"/>
      <c r="K32" s="312" t="s">
        <v>254</v>
      </c>
      <c r="L32" s="312"/>
      <c r="M32" s="312"/>
      <c r="N32" s="2"/>
      <c r="O32" s="310" t="s">
        <v>240</v>
      </c>
      <c r="P32" s="83"/>
      <c r="Q32" s="310" t="s">
        <v>252</v>
      </c>
      <c r="R32" s="83"/>
      <c r="S32" s="310" t="s">
        <v>241</v>
      </c>
      <c r="T32" s="83"/>
      <c r="U32" s="316" t="s">
        <v>237</v>
      </c>
      <c r="V32" s="316"/>
      <c r="W32" s="83"/>
      <c r="X32" s="316" t="s">
        <v>238</v>
      </c>
      <c r="Y32" s="316"/>
      <c r="Z32" s="310" t="s">
        <v>77</v>
      </c>
      <c r="AA32" s="310"/>
      <c r="AB32" s="310"/>
      <c r="AC32" s="83"/>
      <c r="AD32" s="113"/>
      <c r="AE32" s="113"/>
    </row>
    <row r="33" spans="1:51" ht="36" customHeight="1" x14ac:dyDescent="0.2">
      <c r="C33" s="2"/>
      <c r="D33" s="312"/>
      <c r="E33" s="312"/>
      <c r="F33" s="312"/>
      <c r="G33" s="12"/>
      <c r="H33" s="312"/>
      <c r="I33" s="312"/>
      <c r="J33" s="12"/>
      <c r="K33" s="312"/>
      <c r="L33" s="312"/>
      <c r="M33" s="312"/>
      <c r="N33" s="2"/>
      <c r="O33" s="310"/>
      <c r="P33" s="14"/>
      <c r="Q33" s="310"/>
      <c r="R33" s="14"/>
      <c r="S33" s="310"/>
      <c r="T33" s="14"/>
      <c r="U33" s="14" t="s">
        <v>90</v>
      </c>
      <c r="V33" s="14" t="s">
        <v>51</v>
      </c>
      <c r="W33" s="14"/>
      <c r="X33" s="14" t="s">
        <v>90</v>
      </c>
      <c r="Y33" s="14" t="s">
        <v>51</v>
      </c>
      <c r="Z33" s="310"/>
      <c r="AA33" s="310"/>
      <c r="AB33" s="310"/>
      <c r="AC33" s="17"/>
      <c r="AD33" s="114"/>
      <c r="AE33" s="114"/>
    </row>
    <row r="34" spans="1:51" ht="17" customHeight="1" x14ac:dyDescent="0.2">
      <c r="C34" s="2"/>
      <c r="D34" s="318" t="s">
        <v>33</v>
      </c>
      <c r="E34" s="318"/>
      <c r="F34" s="318"/>
      <c r="G34" s="7"/>
      <c r="H34" s="324" t="s">
        <v>253</v>
      </c>
      <c r="I34" s="324"/>
      <c r="J34" s="7"/>
      <c r="K34" s="327" t="s">
        <v>33</v>
      </c>
      <c r="L34" s="327"/>
      <c r="M34" s="327"/>
      <c r="N34" s="2"/>
      <c r="O34" s="137">
        <v>0</v>
      </c>
      <c r="P34" s="98"/>
      <c r="Q34" s="138" t="s">
        <v>33</v>
      </c>
      <c r="R34" s="98"/>
      <c r="S34" s="140">
        <v>10</v>
      </c>
      <c r="T34" s="98"/>
      <c r="U34" s="139"/>
      <c r="V34" s="107">
        <f>VLOOKUP(K34,Sheet7!$B$2:$E$88,4,FALSE)</f>
        <v>0</v>
      </c>
      <c r="W34" s="98"/>
      <c r="X34" s="139"/>
      <c r="Y34" s="107">
        <f>V34*0.8</f>
        <v>0</v>
      </c>
      <c r="Z34" s="305">
        <f>IF(OR(D34="Please select",K34="Please select"),0,((IF(U34&gt;0,U34,V34)*3.664*O34)+(IF(X34&gt;0,X34,Y34)*3.664*O34))+Sheet6!H47)</f>
        <v>0</v>
      </c>
      <c r="AA34" s="305"/>
      <c r="AB34" s="305"/>
      <c r="AC34" s="97"/>
      <c r="AD34" s="115"/>
      <c r="AE34" s="115"/>
    </row>
    <row r="35" spans="1:51" customFormat="1" ht="17" customHeight="1" x14ac:dyDescent="0.2">
      <c r="A35" s="1"/>
      <c r="B35" s="91"/>
      <c r="C35" s="2"/>
      <c r="D35" s="318" t="s">
        <v>33</v>
      </c>
      <c r="E35" s="318"/>
      <c r="F35" s="318"/>
      <c r="G35" s="7"/>
      <c r="H35" s="324" t="s">
        <v>253</v>
      </c>
      <c r="I35" s="324"/>
      <c r="J35" s="7"/>
      <c r="K35" s="327" t="s">
        <v>33</v>
      </c>
      <c r="L35" s="327"/>
      <c r="M35" s="327"/>
      <c r="N35" s="2"/>
      <c r="O35" s="137">
        <v>0</v>
      </c>
      <c r="P35" s="98"/>
      <c r="Q35" s="138" t="s">
        <v>33</v>
      </c>
      <c r="R35" s="98"/>
      <c r="S35" s="140">
        <v>0</v>
      </c>
      <c r="T35" s="98"/>
      <c r="U35" s="139"/>
      <c r="V35" s="107">
        <f>VLOOKUP(K35,Sheet7!$B$2:$E$88,4,FALSE)</f>
        <v>0</v>
      </c>
      <c r="W35" s="98"/>
      <c r="X35" s="139"/>
      <c r="Y35" s="107">
        <f t="shared" ref="Y35:Y39" si="0">V35*0.8</f>
        <v>0</v>
      </c>
      <c r="Z35" s="305">
        <f>IF(OR(D35="Please select",K35="Please select"),0,((IF(U35&gt;0,U35,V35)*3.664*O35)+(IF(X35&gt;0,X35,Y35)*3.664*O35))+Sheet6!H48)</f>
        <v>0</v>
      </c>
      <c r="AA35" s="305"/>
      <c r="AB35" s="305"/>
      <c r="AC35" s="97"/>
      <c r="AD35" s="115"/>
      <c r="AE35" s="115"/>
      <c r="AF35" s="91"/>
      <c r="AG35" s="91"/>
      <c r="AH35" s="91"/>
      <c r="AI35" s="91"/>
      <c r="AJ35" s="91"/>
      <c r="AK35" s="91"/>
      <c r="AL35" s="91"/>
      <c r="AM35" s="91"/>
      <c r="AN35" s="91"/>
      <c r="AO35" s="9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customFormat="1" ht="17" customHeight="1" x14ac:dyDescent="0.2">
      <c r="A36" s="1"/>
      <c r="B36" s="91"/>
      <c r="C36" s="2"/>
      <c r="D36" s="318" t="s">
        <v>33</v>
      </c>
      <c r="E36" s="318"/>
      <c r="F36" s="318"/>
      <c r="G36" s="7"/>
      <c r="H36" s="324" t="s">
        <v>253</v>
      </c>
      <c r="I36" s="324"/>
      <c r="J36" s="7"/>
      <c r="K36" s="327" t="s">
        <v>33</v>
      </c>
      <c r="L36" s="327"/>
      <c r="M36" s="327"/>
      <c r="N36" s="2"/>
      <c r="O36" s="137">
        <v>0</v>
      </c>
      <c r="P36" s="98"/>
      <c r="Q36" s="138" t="s">
        <v>33</v>
      </c>
      <c r="R36" s="98"/>
      <c r="S36" s="140">
        <v>0</v>
      </c>
      <c r="T36" s="98"/>
      <c r="U36" s="139"/>
      <c r="V36" s="107">
        <f>VLOOKUP(K36,Sheet7!$B$2:$E$88,4,FALSE)</f>
        <v>0</v>
      </c>
      <c r="W36" s="98"/>
      <c r="X36" s="139"/>
      <c r="Y36" s="107">
        <f t="shared" si="0"/>
        <v>0</v>
      </c>
      <c r="Z36" s="305">
        <f>IF(OR(D36="Please select",K36="Please select"),0,((IF(U36&gt;0,U36,V36)*3.664*O36)+(IF(X36&gt;0,X36,Y36)*3.664*O36))+Sheet6!H49)</f>
        <v>0</v>
      </c>
      <c r="AA36" s="305"/>
      <c r="AB36" s="305"/>
      <c r="AC36" s="97"/>
      <c r="AD36" s="115"/>
      <c r="AE36" s="115"/>
      <c r="AF36" s="91"/>
      <c r="AG36" s="91"/>
      <c r="AH36" s="91"/>
      <c r="AI36" s="91"/>
      <c r="AJ36" s="91"/>
      <c r="AK36" s="91"/>
      <c r="AL36" s="91"/>
      <c r="AM36" s="91"/>
      <c r="AN36" s="91"/>
      <c r="AO36" s="9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customFormat="1" ht="17" customHeight="1" x14ac:dyDescent="0.2">
      <c r="A37" s="1"/>
      <c r="B37" s="91"/>
      <c r="C37" s="2"/>
      <c r="D37" s="318" t="s">
        <v>33</v>
      </c>
      <c r="E37" s="318"/>
      <c r="F37" s="318"/>
      <c r="G37" s="7"/>
      <c r="H37" s="324" t="s">
        <v>253</v>
      </c>
      <c r="I37" s="324"/>
      <c r="J37" s="7"/>
      <c r="K37" s="327" t="s">
        <v>33</v>
      </c>
      <c r="L37" s="327"/>
      <c r="M37" s="327"/>
      <c r="N37" s="2"/>
      <c r="O37" s="137">
        <v>0</v>
      </c>
      <c r="P37" s="98"/>
      <c r="Q37" s="138" t="s">
        <v>33</v>
      </c>
      <c r="R37" s="98"/>
      <c r="S37" s="140">
        <v>0</v>
      </c>
      <c r="T37" s="98"/>
      <c r="U37" s="139"/>
      <c r="V37" s="107">
        <f>VLOOKUP(K37,Sheet7!$B$2:$E$88,4,FALSE)</f>
        <v>0</v>
      </c>
      <c r="W37" s="98"/>
      <c r="X37" s="139"/>
      <c r="Y37" s="107">
        <f t="shared" si="0"/>
        <v>0</v>
      </c>
      <c r="Z37" s="305">
        <f>IF(OR(D37="Please select",K37="Please select"),0,((IF(U37&gt;0,U37,V37)*3.664*O37)+(IF(X37&gt;0,X37,Y37)*3.664*O37))+Sheet6!H50)</f>
        <v>0</v>
      </c>
      <c r="AA37" s="305"/>
      <c r="AB37" s="305"/>
      <c r="AC37" s="97"/>
      <c r="AD37" s="115"/>
      <c r="AE37" s="115"/>
      <c r="AF37" s="91"/>
      <c r="AG37" s="91"/>
      <c r="AH37" s="91"/>
      <c r="AI37" s="91"/>
      <c r="AJ37" s="91"/>
      <c r="AK37" s="91"/>
      <c r="AL37" s="91"/>
      <c r="AM37" s="91"/>
      <c r="AN37" s="91"/>
      <c r="AO37" s="9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customFormat="1" ht="17" customHeight="1" x14ac:dyDescent="0.2">
      <c r="A38" s="1"/>
      <c r="B38" s="91"/>
      <c r="C38" s="2"/>
      <c r="D38" s="318" t="s">
        <v>33</v>
      </c>
      <c r="E38" s="318"/>
      <c r="F38" s="318"/>
      <c r="G38" s="7"/>
      <c r="H38" s="324" t="s">
        <v>253</v>
      </c>
      <c r="I38" s="324"/>
      <c r="J38" s="7"/>
      <c r="K38" s="327" t="s">
        <v>33</v>
      </c>
      <c r="L38" s="327"/>
      <c r="M38" s="327"/>
      <c r="N38" s="2"/>
      <c r="O38" s="137">
        <v>0</v>
      </c>
      <c r="P38" s="98"/>
      <c r="Q38" s="138" t="s">
        <v>33</v>
      </c>
      <c r="R38" s="98"/>
      <c r="S38" s="140">
        <v>0</v>
      </c>
      <c r="T38" s="98"/>
      <c r="U38" s="139"/>
      <c r="V38" s="107">
        <f>VLOOKUP(K38,Sheet7!$B$2:$E$88,4,FALSE)</f>
        <v>0</v>
      </c>
      <c r="W38" s="98"/>
      <c r="X38" s="139"/>
      <c r="Y38" s="107">
        <f t="shared" si="0"/>
        <v>0</v>
      </c>
      <c r="Z38" s="305">
        <f>IF(OR(D38="Please select",K38="Please select"),0,((IF(U38&gt;0,U38,V38)*3.664*O38)+(IF(X38&gt;0,X38,Y38)*3.664*O38))+Sheet6!H51)</f>
        <v>0</v>
      </c>
      <c r="AA38" s="305"/>
      <c r="AB38" s="305"/>
      <c r="AC38" s="97"/>
      <c r="AD38" s="115"/>
      <c r="AE38" s="115"/>
      <c r="AF38" s="91"/>
      <c r="AG38" s="91"/>
      <c r="AH38" s="91"/>
      <c r="AI38" s="91"/>
      <c r="AJ38" s="91"/>
      <c r="AK38" s="91"/>
      <c r="AL38" s="91"/>
      <c r="AM38" s="91"/>
      <c r="AN38" s="91"/>
      <c r="AO38" s="9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customFormat="1" ht="17" customHeight="1" x14ac:dyDescent="0.2">
      <c r="A39" s="1"/>
      <c r="B39" s="91"/>
      <c r="C39" s="2"/>
      <c r="D39" s="318" t="s">
        <v>33</v>
      </c>
      <c r="E39" s="318"/>
      <c r="F39" s="318"/>
      <c r="G39" s="7"/>
      <c r="H39" s="324" t="s">
        <v>253</v>
      </c>
      <c r="I39" s="324"/>
      <c r="J39" s="7"/>
      <c r="K39" s="327" t="s">
        <v>33</v>
      </c>
      <c r="L39" s="327"/>
      <c r="M39" s="327"/>
      <c r="N39" s="2"/>
      <c r="O39" s="137">
        <v>0</v>
      </c>
      <c r="P39" s="98"/>
      <c r="Q39" s="138" t="s">
        <v>33</v>
      </c>
      <c r="R39" s="98"/>
      <c r="S39" s="140">
        <v>10</v>
      </c>
      <c r="T39" s="98"/>
      <c r="U39" s="139"/>
      <c r="V39" s="107">
        <f>VLOOKUP(K39,Sheet7!$B$2:$E$88,4,FALSE)</f>
        <v>0</v>
      </c>
      <c r="W39" s="98"/>
      <c r="X39" s="139"/>
      <c r="Y39" s="107">
        <f t="shared" si="0"/>
        <v>0</v>
      </c>
      <c r="Z39" s="305">
        <f>IF(OR(D39="Please select",K39="Please select"),0,((IF(U39&gt;0,U39,V39)*3.664*O39)+(IF(X39&gt;0,X39,Y39)*3.664*O39))+Sheet6!H52)</f>
        <v>0</v>
      </c>
      <c r="AA39" s="305"/>
      <c r="AB39" s="305"/>
      <c r="AC39" s="97"/>
      <c r="AD39" s="115"/>
      <c r="AE39" s="115"/>
      <c r="AF39" s="91"/>
      <c r="AG39" s="91"/>
      <c r="AH39" s="91"/>
      <c r="AI39" s="91"/>
      <c r="AJ39" s="91"/>
      <c r="AK39" s="91"/>
      <c r="AL39" s="91"/>
      <c r="AM39" s="91"/>
      <c r="AN39" s="91"/>
      <c r="AO39" s="9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customFormat="1" x14ac:dyDescent="0.2">
      <c r="A40" s="1"/>
      <c r="B40" s="91"/>
      <c r="C40" s="2"/>
      <c r="D40" s="5"/>
      <c r="E40" s="6"/>
      <c r="F40" s="6"/>
      <c r="G40" s="7"/>
      <c r="H40" s="7"/>
      <c r="I40" s="7"/>
      <c r="J40" s="7"/>
      <c r="K40" s="7"/>
      <c r="L40" s="2"/>
      <c r="M40" s="2"/>
      <c r="N40" s="2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06">
        <f>SUM(Z34:AB39)</f>
        <v>0</v>
      </c>
      <c r="AA40" s="307"/>
      <c r="AB40" s="307"/>
      <c r="AC40" s="3"/>
      <c r="AD40" s="112"/>
      <c r="AE40" s="112"/>
      <c r="AF40" s="91"/>
      <c r="AG40" s="91"/>
      <c r="AH40" s="91"/>
      <c r="AI40" s="91"/>
      <c r="AJ40" s="91"/>
      <c r="AK40" s="91"/>
      <c r="AL40" s="91"/>
      <c r="AM40" s="91"/>
      <c r="AN40" s="91"/>
      <c r="AO40" s="9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customFormat="1" x14ac:dyDescent="0.2">
      <c r="A41" s="1"/>
      <c r="B41" s="91"/>
      <c r="C41" s="2"/>
      <c r="D41" s="75"/>
      <c r="E41" s="6"/>
      <c r="F41" s="6"/>
      <c r="G41" s="7"/>
      <c r="H41" s="7"/>
      <c r="I41" s="7"/>
      <c r="J41" s="7"/>
      <c r="K41" s="7"/>
      <c r="L41" s="2"/>
      <c r="M41" s="2"/>
      <c r="N41" s="2"/>
      <c r="O41" s="3"/>
      <c r="P41" s="3"/>
      <c r="Q41" s="3"/>
      <c r="R41" s="3"/>
      <c r="S41" s="3"/>
      <c r="T41" s="3"/>
      <c r="U41" s="3"/>
      <c r="V41" s="3"/>
      <c r="W41" s="3"/>
      <c r="X41" s="75"/>
      <c r="Y41" s="3"/>
      <c r="Z41" s="308"/>
      <c r="AA41" s="308"/>
      <c r="AB41" s="308"/>
      <c r="AC41" s="3"/>
      <c r="AD41" s="112"/>
      <c r="AE41" s="112"/>
      <c r="AF41" s="91"/>
      <c r="AG41" s="91"/>
      <c r="AH41" s="91"/>
      <c r="AI41" s="91"/>
      <c r="AJ41" s="91"/>
      <c r="AK41" s="91"/>
      <c r="AL41" s="91"/>
      <c r="AM41" s="91"/>
      <c r="AN41" s="91"/>
      <c r="AO41" s="9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customFormat="1" x14ac:dyDescent="0.2">
      <c r="A42" s="1"/>
      <c r="B42" s="91"/>
      <c r="C42" s="2"/>
      <c r="D42" s="75"/>
      <c r="E42" s="6"/>
      <c r="F42" s="6"/>
      <c r="G42" s="7"/>
      <c r="H42" s="7"/>
      <c r="I42" s="7"/>
      <c r="J42" s="7"/>
      <c r="K42" s="7"/>
      <c r="L42" s="2"/>
      <c r="M42" s="2"/>
      <c r="N42" s="2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112"/>
      <c r="AE42" s="112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7" spans="1:51" customFormat="1" ht="30" customHeight="1" x14ac:dyDescent="0.2">
      <c r="A47" s="1"/>
      <c r="B47" s="91"/>
      <c r="C47" s="78" t="s">
        <v>358</v>
      </c>
      <c r="D47" s="4" t="s">
        <v>242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91"/>
      <c r="AE47" s="91"/>
      <c r="AF47" s="91"/>
      <c r="AG47" s="116"/>
      <c r="AH47" s="326"/>
      <c r="AI47" s="326"/>
      <c r="AJ47" s="326"/>
      <c r="AK47" s="326"/>
      <c r="AL47" s="326"/>
      <c r="AM47" s="326"/>
      <c r="AN47" s="326"/>
      <c r="AO47" s="9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customFormat="1" ht="7.25" customHeight="1" x14ac:dyDescent="0.2">
      <c r="A48" s="1"/>
      <c r="B48" s="91"/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91"/>
      <c r="AO48" s="9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x14ac:dyDescent="0.2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112"/>
      <c r="AE49" s="112"/>
    </row>
    <row r="50" spans="1:51" ht="33" customHeight="1" x14ac:dyDescent="0.2">
      <c r="C50" s="2"/>
      <c r="D50" s="312" t="s">
        <v>192</v>
      </c>
      <c r="E50" s="312"/>
      <c r="F50" s="312"/>
      <c r="G50" s="2"/>
      <c r="H50" s="312" t="s">
        <v>198</v>
      </c>
      <c r="I50" s="312"/>
      <c r="J50" s="2"/>
      <c r="K50" s="312" t="s">
        <v>347</v>
      </c>
      <c r="L50" s="312"/>
      <c r="M50" s="312"/>
      <c r="N50" s="2"/>
      <c r="O50" s="310" t="s">
        <v>349</v>
      </c>
      <c r="P50" s="83"/>
      <c r="Q50" s="310" t="s">
        <v>348</v>
      </c>
      <c r="R50" s="83"/>
      <c r="S50" s="310" t="s">
        <v>355</v>
      </c>
      <c r="T50" s="83"/>
      <c r="U50" s="316" t="s">
        <v>237</v>
      </c>
      <c r="V50" s="316"/>
      <c r="W50" s="83"/>
      <c r="X50" s="316" t="s">
        <v>238</v>
      </c>
      <c r="Y50" s="316"/>
      <c r="Z50" s="310" t="s">
        <v>77</v>
      </c>
      <c r="AA50" s="310"/>
      <c r="AB50" s="310"/>
      <c r="AC50" s="83"/>
      <c r="AD50" s="113"/>
      <c r="AE50" s="113"/>
    </row>
    <row r="51" spans="1:51" ht="36" customHeight="1" x14ac:dyDescent="0.2">
      <c r="C51" s="2"/>
      <c r="D51" s="312"/>
      <c r="E51" s="312"/>
      <c r="F51" s="312"/>
      <c r="G51" s="12"/>
      <c r="H51" s="312"/>
      <c r="I51" s="312"/>
      <c r="J51" s="12"/>
      <c r="K51" s="312"/>
      <c r="L51" s="312"/>
      <c r="M51" s="312"/>
      <c r="N51" s="2"/>
      <c r="O51" s="310"/>
      <c r="P51" s="14"/>
      <c r="Q51" s="310"/>
      <c r="R51" s="14"/>
      <c r="S51" s="310"/>
      <c r="T51" s="14"/>
      <c r="U51" s="14" t="s">
        <v>90</v>
      </c>
      <c r="V51" s="14" t="s">
        <v>51</v>
      </c>
      <c r="W51" s="14"/>
      <c r="X51" s="14" t="s">
        <v>90</v>
      </c>
      <c r="Y51" s="14" t="s">
        <v>51</v>
      </c>
      <c r="Z51" s="310"/>
      <c r="AA51" s="310"/>
      <c r="AB51" s="310"/>
      <c r="AC51" s="17"/>
      <c r="AD51" s="114"/>
      <c r="AE51" s="114"/>
    </row>
    <row r="52" spans="1:51" ht="17" customHeight="1" x14ac:dyDescent="0.2">
      <c r="C52" s="2"/>
      <c r="D52" s="318" t="s">
        <v>33</v>
      </c>
      <c r="E52" s="318"/>
      <c r="F52" s="318"/>
      <c r="G52" s="7"/>
      <c r="H52" s="324" t="s">
        <v>242</v>
      </c>
      <c r="I52" s="324"/>
      <c r="J52" s="7"/>
      <c r="K52" s="325">
        <v>0</v>
      </c>
      <c r="L52" s="325"/>
      <c r="M52" s="325"/>
      <c r="N52" s="2"/>
      <c r="O52" s="137" t="s">
        <v>33</v>
      </c>
      <c r="P52" s="98"/>
      <c r="Q52" s="138" t="s">
        <v>33</v>
      </c>
      <c r="R52" s="98"/>
      <c r="S52" s="140">
        <v>0</v>
      </c>
      <c r="T52" s="98"/>
      <c r="U52" s="139"/>
      <c r="V52" s="107">
        <v>2.27</v>
      </c>
      <c r="W52" s="98"/>
      <c r="X52" s="139"/>
      <c r="Y52" s="107">
        <f>V52*0.8</f>
        <v>1.8160000000000001</v>
      </c>
      <c r="Z52" s="305">
        <f>(K52*V52)+(K52*Y52)</f>
        <v>0</v>
      </c>
      <c r="AA52" s="305"/>
      <c r="AB52" s="305"/>
      <c r="AC52" s="97"/>
      <c r="AD52" s="115"/>
      <c r="AE52" s="115"/>
    </row>
    <row r="53" spans="1:51" customFormat="1" ht="17" customHeight="1" x14ac:dyDescent="0.2">
      <c r="A53" s="1"/>
      <c r="B53" s="91"/>
      <c r="C53" s="2"/>
      <c r="D53" s="318" t="s">
        <v>33</v>
      </c>
      <c r="E53" s="318"/>
      <c r="F53" s="318"/>
      <c r="G53" s="7"/>
      <c r="H53" s="324" t="s">
        <v>242</v>
      </c>
      <c r="I53" s="324"/>
      <c r="J53" s="7"/>
      <c r="K53" s="325">
        <v>0</v>
      </c>
      <c r="L53" s="325"/>
      <c r="M53" s="325"/>
      <c r="N53" s="2"/>
      <c r="O53" s="137" t="s">
        <v>33</v>
      </c>
      <c r="P53" s="98"/>
      <c r="Q53" s="138" t="s">
        <v>33</v>
      </c>
      <c r="R53" s="98"/>
      <c r="S53" s="140">
        <v>0</v>
      </c>
      <c r="T53" s="98"/>
      <c r="U53" s="139"/>
      <c r="V53" s="107">
        <v>2.27</v>
      </c>
      <c r="W53" s="98"/>
      <c r="X53" s="139"/>
      <c r="Y53" s="107">
        <f t="shared" ref="Y53:Y57" si="1">V53*0.8</f>
        <v>1.8160000000000001</v>
      </c>
      <c r="Z53" s="305">
        <f t="shared" ref="Z53:Z57" si="2">(K53*V53)+(K53*Y53)</f>
        <v>0</v>
      </c>
      <c r="AA53" s="305"/>
      <c r="AB53" s="305"/>
      <c r="AC53" s="97"/>
      <c r="AD53" s="115"/>
      <c r="AE53" s="115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customFormat="1" ht="17" customHeight="1" x14ac:dyDescent="0.2">
      <c r="A54" s="1"/>
      <c r="B54" s="91"/>
      <c r="C54" s="2"/>
      <c r="D54" s="318" t="s">
        <v>33</v>
      </c>
      <c r="E54" s="318"/>
      <c r="F54" s="318"/>
      <c r="G54" s="7"/>
      <c r="H54" s="324" t="s">
        <v>242</v>
      </c>
      <c r="I54" s="324"/>
      <c r="J54" s="7"/>
      <c r="K54" s="325">
        <v>0</v>
      </c>
      <c r="L54" s="325"/>
      <c r="M54" s="325"/>
      <c r="N54" s="2"/>
      <c r="O54" s="137" t="s">
        <v>33</v>
      </c>
      <c r="P54" s="98"/>
      <c r="Q54" s="138" t="s">
        <v>33</v>
      </c>
      <c r="R54" s="98"/>
      <c r="S54" s="140">
        <v>0</v>
      </c>
      <c r="T54" s="98"/>
      <c r="U54" s="139"/>
      <c r="V54" s="107">
        <v>2.27</v>
      </c>
      <c r="W54" s="98"/>
      <c r="X54" s="139"/>
      <c r="Y54" s="107">
        <f t="shared" si="1"/>
        <v>1.8160000000000001</v>
      </c>
      <c r="Z54" s="305">
        <f t="shared" si="2"/>
        <v>0</v>
      </c>
      <c r="AA54" s="305"/>
      <c r="AB54" s="305"/>
      <c r="AC54" s="97"/>
      <c r="AD54" s="115"/>
      <c r="AE54" s="115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customFormat="1" ht="17" customHeight="1" x14ac:dyDescent="0.2">
      <c r="A55" s="1"/>
      <c r="B55" s="91"/>
      <c r="C55" s="2"/>
      <c r="D55" s="318" t="s">
        <v>33</v>
      </c>
      <c r="E55" s="318"/>
      <c r="F55" s="318"/>
      <c r="G55" s="7"/>
      <c r="H55" s="324" t="s">
        <v>242</v>
      </c>
      <c r="I55" s="324"/>
      <c r="J55" s="7"/>
      <c r="K55" s="325">
        <v>0</v>
      </c>
      <c r="L55" s="325"/>
      <c r="M55" s="325"/>
      <c r="N55" s="2"/>
      <c r="O55" s="137" t="s">
        <v>33</v>
      </c>
      <c r="P55" s="98"/>
      <c r="Q55" s="138" t="s">
        <v>33</v>
      </c>
      <c r="R55" s="98"/>
      <c r="S55" s="140">
        <v>0</v>
      </c>
      <c r="T55" s="98"/>
      <c r="U55" s="139"/>
      <c r="V55" s="107">
        <v>2.27</v>
      </c>
      <c r="W55" s="98"/>
      <c r="X55" s="139"/>
      <c r="Y55" s="107">
        <f t="shared" si="1"/>
        <v>1.8160000000000001</v>
      </c>
      <c r="Z55" s="305">
        <f t="shared" si="2"/>
        <v>0</v>
      </c>
      <c r="AA55" s="305"/>
      <c r="AB55" s="305"/>
      <c r="AC55" s="97"/>
      <c r="AD55" s="115"/>
      <c r="AE55" s="115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customFormat="1" ht="17" customHeight="1" x14ac:dyDescent="0.2">
      <c r="A56" s="1"/>
      <c r="B56" s="91"/>
      <c r="C56" s="2"/>
      <c r="D56" s="318" t="s">
        <v>33</v>
      </c>
      <c r="E56" s="318"/>
      <c r="F56" s="318"/>
      <c r="G56" s="7"/>
      <c r="H56" s="324" t="s">
        <v>242</v>
      </c>
      <c r="I56" s="324"/>
      <c r="J56" s="7"/>
      <c r="K56" s="325">
        <v>0</v>
      </c>
      <c r="L56" s="325"/>
      <c r="M56" s="325"/>
      <c r="N56" s="2"/>
      <c r="O56" s="137" t="s">
        <v>33</v>
      </c>
      <c r="P56" s="98"/>
      <c r="Q56" s="138" t="s">
        <v>33</v>
      </c>
      <c r="R56" s="98"/>
      <c r="S56" s="140">
        <v>0</v>
      </c>
      <c r="T56" s="98"/>
      <c r="U56" s="139"/>
      <c r="V56" s="107">
        <v>2.27</v>
      </c>
      <c r="W56" s="98"/>
      <c r="X56" s="139"/>
      <c r="Y56" s="107">
        <f t="shared" si="1"/>
        <v>1.8160000000000001</v>
      </c>
      <c r="Z56" s="305">
        <f t="shared" si="2"/>
        <v>0</v>
      </c>
      <c r="AA56" s="305"/>
      <c r="AB56" s="305"/>
      <c r="AC56" s="97"/>
      <c r="AD56" s="115"/>
      <c r="AE56" s="115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customFormat="1" ht="17" customHeight="1" x14ac:dyDescent="0.2">
      <c r="A57" s="1"/>
      <c r="B57" s="91"/>
      <c r="C57" s="2"/>
      <c r="D57" s="318" t="s">
        <v>33</v>
      </c>
      <c r="E57" s="318"/>
      <c r="F57" s="318"/>
      <c r="G57" s="7"/>
      <c r="H57" s="324" t="s">
        <v>242</v>
      </c>
      <c r="I57" s="324"/>
      <c r="J57" s="7"/>
      <c r="K57" s="325">
        <v>0</v>
      </c>
      <c r="L57" s="325"/>
      <c r="M57" s="325"/>
      <c r="N57" s="2"/>
      <c r="O57" s="137" t="s">
        <v>33</v>
      </c>
      <c r="P57" s="98"/>
      <c r="Q57" s="138" t="s">
        <v>33</v>
      </c>
      <c r="R57" s="98"/>
      <c r="S57" s="140">
        <v>0</v>
      </c>
      <c r="T57" s="98"/>
      <c r="U57" s="139"/>
      <c r="V57" s="107">
        <v>2.27</v>
      </c>
      <c r="W57" s="98"/>
      <c r="X57" s="139"/>
      <c r="Y57" s="107">
        <f t="shared" si="1"/>
        <v>1.8160000000000001</v>
      </c>
      <c r="Z57" s="305">
        <f t="shared" si="2"/>
        <v>0</v>
      </c>
      <c r="AA57" s="305"/>
      <c r="AB57" s="305"/>
      <c r="AC57" s="97"/>
      <c r="AD57" s="115"/>
      <c r="AE57" s="115"/>
      <c r="AF57" s="91"/>
      <c r="AG57" s="91"/>
      <c r="AH57" s="91"/>
      <c r="AI57" s="91"/>
      <c r="AJ57" s="91"/>
      <c r="AK57" s="91"/>
      <c r="AL57" s="91"/>
      <c r="AM57" s="91"/>
      <c r="AN57" s="91"/>
      <c r="AO57" s="9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customFormat="1" x14ac:dyDescent="0.2">
      <c r="A58" s="1"/>
      <c r="B58" s="91"/>
      <c r="C58" s="2"/>
      <c r="D58" s="5"/>
      <c r="E58" s="6"/>
      <c r="F58" s="6"/>
      <c r="G58" s="7"/>
      <c r="H58" s="7"/>
      <c r="I58" s="7"/>
      <c r="J58" s="7"/>
      <c r="K58" s="7"/>
      <c r="L58" s="2"/>
      <c r="M58" s="2"/>
      <c r="N58" s="2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06">
        <f>SUM(Z52:AB57)</f>
        <v>0</v>
      </c>
      <c r="AA58" s="307"/>
      <c r="AB58" s="307"/>
      <c r="AC58" s="3"/>
      <c r="AD58" s="112"/>
      <c r="AE58" s="112"/>
      <c r="AF58" s="91"/>
      <c r="AG58" s="91"/>
      <c r="AH58" s="91"/>
      <c r="AI58" s="91"/>
      <c r="AJ58" s="91"/>
      <c r="AK58" s="91"/>
      <c r="AL58" s="91"/>
      <c r="AM58" s="91"/>
      <c r="AN58" s="91"/>
      <c r="AO58" s="9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customFormat="1" x14ac:dyDescent="0.2">
      <c r="A59" s="1"/>
      <c r="B59" s="91"/>
      <c r="C59" s="2"/>
      <c r="D59" s="75"/>
      <c r="E59" s="6"/>
      <c r="F59" s="6"/>
      <c r="G59" s="7"/>
      <c r="H59" s="7"/>
      <c r="I59" s="7"/>
      <c r="J59" s="7"/>
      <c r="K59" s="7"/>
      <c r="L59" s="2"/>
      <c r="M59" s="2"/>
      <c r="N59" s="2"/>
      <c r="O59" s="3"/>
      <c r="P59" s="3"/>
      <c r="Q59" s="3"/>
      <c r="R59" s="3"/>
      <c r="S59" s="3"/>
      <c r="T59" s="3"/>
      <c r="U59" s="3"/>
      <c r="V59" s="3"/>
      <c r="W59" s="3"/>
      <c r="X59" s="75"/>
      <c r="Y59" s="3"/>
      <c r="Z59" s="308"/>
      <c r="AA59" s="308"/>
      <c r="AB59" s="308"/>
      <c r="AC59" s="3"/>
      <c r="AD59" s="112"/>
      <c r="AE59" s="112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customFormat="1" x14ac:dyDescent="0.2">
      <c r="A60" s="1"/>
      <c r="B60" s="91"/>
      <c r="C60" s="2"/>
      <c r="D60" s="75"/>
      <c r="E60" s="6"/>
      <c r="F60" s="6"/>
      <c r="G60" s="7"/>
      <c r="H60" s="7"/>
      <c r="I60" s="7"/>
      <c r="J60" s="7"/>
      <c r="K60" s="7"/>
      <c r="L60" s="2"/>
      <c r="M60" s="2"/>
      <c r="N60" s="2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112"/>
      <c r="AE60" s="112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1"/>
      <c r="AQ60" s="1"/>
      <c r="AR60" s="1"/>
      <c r="AS60" s="1"/>
      <c r="AT60" s="1"/>
      <c r="AU60" s="1"/>
      <c r="AV60" s="1"/>
      <c r="AW60" s="1"/>
      <c r="AX60" s="1"/>
      <c r="AY60" s="1"/>
    </row>
  </sheetData>
  <sheetProtection algorithmName="SHA-512" hashValue="bLyWfqCmW9ppuMPB09KnyKg9bZdUtc21v8HYgSrFCPx6Ato0vUSghEUfBtv8YALS93vZn+kEWm5+xWLpxE7r/g==" saltValue="WlcE5hq2+nC5vO6aayZRyA==" spinCount="100000" sheet="1" objects="1" scenarios="1" selectLockedCells="1"/>
  <protectedRanges>
    <protectedRange sqref="D16:F21 K16:M21 O16:O21 Q16:Q21 S16:S21 U16:U21 X16:X21 D34:F39 K34:M39 O34:O39 Q34:Q39 S34:S39 U34:U39 X34:X39 D52:F57 K52:M57 O52:O57 Q52:Q57 S52:S57 U52:U57 X52:X57" name="Range1_AR"/>
  </protectedRanges>
  <mergeCells count="103">
    <mergeCell ref="D17:F17"/>
    <mergeCell ref="H17:I17"/>
    <mergeCell ref="K17:M17"/>
    <mergeCell ref="D16:F16"/>
    <mergeCell ref="H16:I16"/>
    <mergeCell ref="K16:M16"/>
    <mergeCell ref="D14:F15"/>
    <mergeCell ref="H14:I15"/>
    <mergeCell ref="K14:M15"/>
    <mergeCell ref="D20:F20"/>
    <mergeCell ref="H20:I20"/>
    <mergeCell ref="K20:M20"/>
    <mergeCell ref="D19:F19"/>
    <mergeCell ref="H19:I19"/>
    <mergeCell ref="K19:M19"/>
    <mergeCell ref="D18:F18"/>
    <mergeCell ref="H18:I18"/>
    <mergeCell ref="K18:M18"/>
    <mergeCell ref="D34:F34"/>
    <mergeCell ref="H34:I34"/>
    <mergeCell ref="K34:M34"/>
    <mergeCell ref="Z34:AB34"/>
    <mergeCell ref="D32:F33"/>
    <mergeCell ref="H32:I33"/>
    <mergeCell ref="D21:F21"/>
    <mergeCell ref="H21:I21"/>
    <mergeCell ref="K21:M21"/>
    <mergeCell ref="Z21:AB21"/>
    <mergeCell ref="K32:M33"/>
    <mergeCell ref="O32:O33"/>
    <mergeCell ref="Q32:Q33"/>
    <mergeCell ref="S32:S33"/>
    <mergeCell ref="U32:V32"/>
    <mergeCell ref="X32:Y32"/>
    <mergeCell ref="Z22:AB23"/>
    <mergeCell ref="Z32:AB33"/>
    <mergeCell ref="D37:F37"/>
    <mergeCell ref="H37:I37"/>
    <mergeCell ref="K37:M37"/>
    <mergeCell ref="Z37:AB37"/>
    <mergeCell ref="D36:F36"/>
    <mergeCell ref="H36:I36"/>
    <mergeCell ref="K36:M36"/>
    <mergeCell ref="Z36:AB36"/>
    <mergeCell ref="D35:F35"/>
    <mergeCell ref="H35:I35"/>
    <mergeCell ref="K35:M35"/>
    <mergeCell ref="Z35:AB35"/>
    <mergeCell ref="AH47:AN47"/>
    <mergeCell ref="D39:F39"/>
    <mergeCell ref="H39:I39"/>
    <mergeCell ref="K39:M39"/>
    <mergeCell ref="Z39:AB39"/>
    <mergeCell ref="D38:F38"/>
    <mergeCell ref="H38:I38"/>
    <mergeCell ref="K38:M38"/>
    <mergeCell ref="Z38:AB38"/>
    <mergeCell ref="Z40:AB41"/>
    <mergeCell ref="Z14:AB15"/>
    <mergeCell ref="Z16:AB16"/>
    <mergeCell ref="Z17:AB17"/>
    <mergeCell ref="Z18:AB18"/>
    <mergeCell ref="Z19:AB19"/>
    <mergeCell ref="Z20:AB20"/>
    <mergeCell ref="O14:O15"/>
    <mergeCell ref="U14:V14"/>
    <mergeCell ref="X14:Y14"/>
    <mergeCell ref="Q14:Q15"/>
    <mergeCell ref="S14:S15"/>
    <mergeCell ref="D50:F51"/>
    <mergeCell ref="H50:I51"/>
    <mergeCell ref="K50:M51"/>
    <mergeCell ref="O50:O51"/>
    <mergeCell ref="Q50:Q51"/>
    <mergeCell ref="S50:S51"/>
    <mergeCell ref="U50:V50"/>
    <mergeCell ref="X50:Y50"/>
    <mergeCell ref="Z50:AB51"/>
    <mergeCell ref="D54:F54"/>
    <mergeCell ref="H54:I54"/>
    <mergeCell ref="K54:M54"/>
    <mergeCell ref="Z54:AB54"/>
    <mergeCell ref="D55:F55"/>
    <mergeCell ref="H55:I55"/>
    <mergeCell ref="K55:M55"/>
    <mergeCell ref="Z55:AB55"/>
    <mergeCell ref="D52:F52"/>
    <mergeCell ref="H52:I52"/>
    <mergeCell ref="K52:M52"/>
    <mergeCell ref="Z52:AB52"/>
    <mergeCell ref="D53:F53"/>
    <mergeCell ref="H53:I53"/>
    <mergeCell ref="K53:M53"/>
    <mergeCell ref="Z53:AB53"/>
    <mergeCell ref="Z58:AB59"/>
    <mergeCell ref="D56:F56"/>
    <mergeCell ref="H56:I56"/>
    <mergeCell ref="K56:M56"/>
    <mergeCell ref="Z56:AB56"/>
    <mergeCell ref="D57:F57"/>
    <mergeCell ref="H57:I57"/>
    <mergeCell ref="K57:M57"/>
    <mergeCell ref="Z57:AB57"/>
  </mergeCells>
  <conditionalFormatting sqref="D14 D22:F24">
    <cfRule type="expression" dxfId="89" priority="51">
      <formula>#REF!="Other"</formula>
    </cfRule>
  </conditionalFormatting>
  <conditionalFormatting sqref="D14 D22:K24 K14 G16:G21 J16:K21 H14">
    <cfRule type="expression" dxfId="88" priority="52">
      <formula>IF(OR(#REF! = "Design", "Implementation", "Completed"), "", "if other, please specify")</formula>
    </cfRule>
  </conditionalFormatting>
  <conditionalFormatting sqref="D32 D40:F42">
    <cfRule type="expression" dxfId="87" priority="13">
      <formula>#REF!="Other"</formula>
    </cfRule>
  </conditionalFormatting>
  <conditionalFormatting sqref="D32 D40:K42 K32 G34:G39 J34:K39 H32">
    <cfRule type="expression" dxfId="86" priority="14">
      <formula>IF(OR(#REF! = "Design", "Implementation", "Completed"), "", "if other, please specify")</formula>
    </cfRule>
  </conditionalFormatting>
  <conditionalFormatting sqref="D50 D58:F60">
    <cfRule type="expression" dxfId="85" priority="5">
      <formula>#REF!="Other"</formula>
    </cfRule>
  </conditionalFormatting>
  <conditionalFormatting sqref="D50 D58:K60 K50 G52:G57 J52:J57 H50">
    <cfRule type="expression" dxfId="84" priority="6">
      <formula>IF(OR(#REF! = "Design", "Implementation", "Completed"), "", "if other, please specify")</formula>
    </cfRule>
  </conditionalFormatting>
  <conditionalFormatting sqref="H14">
    <cfRule type="expression" dxfId="83" priority="49">
      <formula>#REF!="Other"</formula>
    </cfRule>
  </conditionalFormatting>
  <conditionalFormatting sqref="H32">
    <cfRule type="expression" dxfId="82" priority="11">
      <formula>#REF!="Other"</formula>
    </cfRule>
  </conditionalFormatting>
  <conditionalFormatting sqref="H50">
    <cfRule type="expression" dxfId="81" priority="3">
      <formula>#REF!="Other"</formula>
    </cfRule>
  </conditionalFormatting>
  <conditionalFormatting sqref="K14 G16:G21 J16:K21 G22:K24">
    <cfRule type="expression" dxfId="80" priority="50">
      <formula>#REF!="Other"</formula>
    </cfRule>
  </conditionalFormatting>
  <conditionalFormatting sqref="K14">
    <cfRule type="expression" dxfId="79" priority="48">
      <formula>#REF!="Other"</formula>
    </cfRule>
  </conditionalFormatting>
  <conditionalFormatting sqref="K32 G34:G39 J34:K39 G40:K42">
    <cfRule type="expression" dxfId="78" priority="12">
      <formula>#REF!="Other"</formula>
    </cfRule>
  </conditionalFormatting>
  <conditionalFormatting sqref="K32">
    <cfRule type="expression" dxfId="77" priority="10">
      <formula>#REF!="Other"</formula>
    </cfRule>
  </conditionalFormatting>
  <conditionalFormatting sqref="K50 G52:G57 J52:J57 G58:K60">
    <cfRule type="expression" dxfId="76" priority="4">
      <formula>#REF!="Other"</formula>
    </cfRule>
  </conditionalFormatting>
  <conditionalFormatting sqref="K50">
    <cfRule type="expression" dxfId="75" priority="2">
      <formula>#REF!="Other"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4D354EFD-5CAA-484D-BA25-0744BD74CDDB}">
            <xm:f>Q16:Q21&lt;&gt;Sheet4!$O$9</xm:f>
            <x14:dxf>
              <font>
                <color theme="0" tint="-0.14996795556505021"/>
              </font>
              <fill>
                <patternFill patternType="lightDown"/>
              </fill>
            </x14:dxf>
          </x14:cfRule>
          <xm:sqref>S16:S21</xm:sqref>
        </x14:conditionalFormatting>
        <x14:conditionalFormatting xmlns:xm="http://schemas.microsoft.com/office/excel/2006/main">
          <x14:cfRule type="expression" priority="7" id="{F9535769-F20C-4E9F-9BA2-698E620EBB17}">
            <xm:f>Q34:Q39&lt;&gt;Sheet4!$O$9</xm:f>
            <x14:dxf>
              <font>
                <color theme="0" tint="-0.14996795556505021"/>
              </font>
              <fill>
                <patternFill patternType="lightDown"/>
              </fill>
            </x14:dxf>
          </x14:cfRule>
          <xm:sqref>S34:S39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26C6443-93ED-4CB9-9509-14964A193924}">
          <x14:formula1>
            <xm:f>Sheet4!$M$6:$M$23</xm:f>
          </x14:formula1>
          <xm:sqref>D17:F21 D35:F39 D53:F57</xm:sqref>
        </x14:dataValidation>
        <x14:dataValidation type="list" allowBlank="1" showInputMessage="1" showErrorMessage="1" xr:uid="{7D69E350-123E-4476-BA31-46B0227647D2}">
          <x14:formula1>
            <xm:f>Sheet4!$N$6:$N$14</xm:f>
          </x14:formula1>
          <xm:sqref>K16:M21</xm:sqref>
        </x14:dataValidation>
        <x14:dataValidation type="list" allowBlank="1" showInputMessage="1" showErrorMessage="1" xr:uid="{6B67AB09-CBA2-4EBC-8C8C-E23254EF84A1}">
          <x14:formula1>
            <xm:f>Sheet4!$M$6:$M$24</xm:f>
          </x14:formula1>
          <xm:sqref>D16:F16 D34:F34 D52:F52</xm:sqref>
        </x14:dataValidation>
        <x14:dataValidation type="list" allowBlank="1" showInputMessage="1" showErrorMessage="1" xr:uid="{4A99E90D-6540-4771-BA0F-661B556FDFE3}">
          <x14:formula1>
            <xm:f>Sheet4!$O$6:$O$10</xm:f>
          </x14:formula1>
          <xm:sqref>Q16:Q21 Q34:Q39</xm:sqref>
        </x14:dataValidation>
        <x14:dataValidation type="list" allowBlank="1" showInputMessage="1" showErrorMessage="1" xr:uid="{04C47E53-94DD-41F8-9ABB-D07B4D47DC60}">
          <x14:formula1>
            <xm:f>Sheet7!$B$3:$B$88</xm:f>
          </x14:formula1>
          <xm:sqref>K34:M39</xm:sqref>
        </x14:dataValidation>
        <x14:dataValidation type="list" allowBlank="1" showInputMessage="1" showErrorMessage="1" xr:uid="{7CD20E82-7965-4619-9DB3-DAFA7D1E6BF1}">
          <x14:formula1>
            <xm:f>Sheet4!$P$6:$P$8</xm:f>
          </x14:formula1>
          <xm:sqref>O52:O57</xm:sqref>
        </x14:dataValidation>
        <x14:dataValidation type="list" allowBlank="1" showInputMessage="1" showErrorMessage="1" xr:uid="{98EC3DA5-C709-47B6-A378-018582680DD0}">
          <x14:formula1>
            <xm:f>Sheet4!$Q$6:$Q$17</xm:f>
          </x14:formula1>
          <xm:sqref>Q52:Q57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A864D-2A2F-4F66-8BB4-1E2108D9F7AE}">
  <sheetPr>
    <tabColor theme="3" tint="0.249977111117893"/>
  </sheetPr>
  <dimension ref="A1:AU60"/>
  <sheetViews>
    <sheetView showGridLines="0" zoomScale="90" zoomScaleNormal="9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M8" sqref="M8"/>
    </sheetView>
  </sheetViews>
  <sheetFormatPr baseColWidth="10" defaultColWidth="8.83203125" defaultRowHeight="15" x14ac:dyDescent="0.2"/>
  <cols>
    <col min="1" max="1" width="8.83203125" style="1"/>
    <col min="2" max="2" width="8.83203125" style="91"/>
    <col min="3" max="3" width="6.33203125" style="91" customWidth="1"/>
    <col min="4" max="6" width="8.83203125" style="91"/>
    <col min="7" max="7" width="3.33203125" style="91" customWidth="1"/>
    <col min="8" max="8" width="9.33203125" style="91" customWidth="1"/>
    <col min="9" max="9" width="5.6640625" style="91" customWidth="1"/>
    <col min="10" max="10" width="8.83203125" style="91"/>
    <col min="11" max="11" width="3.5" style="91" customWidth="1"/>
    <col min="12" max="12" width="24.83203125" style="91" customWidth="1"/>
    <col min="13" max="13" width="3.6640625" style="91" customWidth="1"/>
    <col min="14" max="14" width="24.83203125" style="91" customWidth="1"/>
    <col min="15" max="15" width="3.33203125" style="91" customWidth="1"/>
    <col min="16" max="16" width="9.6640625" style="91" customWidth="1"/>
    <col min="17" max="17" width="9.1640625" style="91" customWidth="1"/>
    <col min="18" max="18" width="3.33203125" style="91" customWidth="1"/>
    <col min="19" max="19" width="8.33203125" style="91" customWidth="1"/>
    <col min="20" max="20" width="1.5" style="91" customWidth="1"/>
    <col min="21" max="21" width="8.33203125" style="91" customWidth="1"/>
    <col min="22" max="22" width="1.5" style="91" customWidth="1"/>
    <col min="23" max="23" width="8.33203125" style="91" customWidth="1"/>
    <col min="24" max="24" width="3.83203125" style="91" customWidth="1"/>
    <col min="25" max="25" width="8.33203125" style="91" customWidth="1"/>
    <col min="26" max="26" width="1.5" style="91" customWidth="1"/>
    <col min="27" max="27" width="8.33203125" style="91" customWidth="1"/>
    <col min="28" max="28" width="1.5" style="91" customWidth="1"/>
    <col min="29" max="29" width="8.33203125" style="91" customWidth="1"/>
    <col min="30" max="30" width="13.5" style="91" customWidth="1"/>
    <col min="31" max="31" width="10.33203125" style="91" customWidth="1"/>
    <col min="32" max="32" width="5.33203125" style="91" customWidth="1"/>
    <col min="33" max="33" width="8.83203125" style="91"/>
    <col min="34" max="34" width="1.83203125" style="91" customWidth="1"/>
    <col min="35" max="35" width="8.33203125" style="91" customWidth="1"/>
    <col min="36" max="36" width="1.5" style="91" customWidth="1"/>
    <col min="37" max="37" width="8.33203125" style="91" customWidth="1"/>
    <col min="38" max="38" width="1.5" style="91" customWidth="1"/>
    <col min="39" max="39" width="8.33203125" style="91" customWidth="1"/>
    <col min="40" max="40" width="3.83203125" style="91" customWidth="1"/>
    <col min="41" max="41" width="8.33203125" style="91" customWidth="1"/>
    <col min="42" max="42" width="1.5" style="91" customWidth="1"/>
    <col min="43" max="43" width="8.33203125" style="91" customWidth="1"/>
    <col min="44" max="44" width="1.5" style="91" customWidth="1"/>
    <col min="45" max="45" width="8.33203125" style="91" customWidth="1"/>
    <col min="46" max="46" width="2.33203125" style="91" customWidth="1"/>
    <col min="47" max="47" width="8.83203125" style="91"/>
    <col min="48" max="16384" width="8.83203125" style="1"/>
  </cols>
  <sheetData>
    <row r="1" spans="1:47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x14ac:dyDescent="0.2">
      <c r="A5" s="1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ht="29.5" customHeight="1" x14ac:dyDescent="0.2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1:47" ht="29.5" customHeight="1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1:47" ht="14.5" customHeight="1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1:47" ht="14.5" customHeight="1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1:47" ht="14.5" customHeight="1" x14ac:dyDescent="0.2">
      <c r="B10" s="89" t="s">
        <v>42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1:47" ht="30" customHeight="1" x14ac:dyDescent="0.2">
      <c r="C11" s="78" t="s">
        <v>359</v>
      </c>
      <c r="D11" s="4" t="s">
        <v>255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H11" s="86" t="s">
        <v>176</v>
      </c>
      <c r="AI11" s="322" t="s">
        <v>79</v>
      </c>
      <c r="AJ11" s="322"/>
      <c r="AK11" s="322"/>
      <c r="AL11" s="322"/>
      <c r="AM11" s="322"/>
      <c r="AN11" s="322"/>
      <c r="AO11" s="322"/>
      <c r="AP11" s="322"/>
      <c r="AQ11" s="322"/>
      <c r="AR11" s="322"/>
      <c r="AS11" s="322"/>
      <c r="AT11" s="322"/>
    </row>
    <row r="12" spans="1:47" ht="7.25" customHeight="1" x14ac:dyDescent="0.2">
      <c r="D12" s="92"/>
    </row>
    <row r="13" spans="1:47" x14ac:dyDescent="0.2">
      <c r="C13" s="2"/>
      <c r="D13" s="2"/>
      <c r="E13" s="2"/>
      <c r="F13" s="2"/>
      <c r="G13" s="2"/>
      <c r="H13" s="2"/>
      <c r="I13" s="2"/>
      <c r="J13" s="2"/>
      <c r="K13" s="2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H13" s="9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9"/>
    </row>
    <row r="14" spans="1:47" ht="35.5" customHeight="1" x14ac:dyDescent="0.2">
      <c r="C14" s="2"/>
      <c r="D14" s="312" t="s">
        <v>423</v>
      </c>
      <c r="E14" s="312"/>
      <c r="F14" s="312"/>
      <c r="G14" s="2"/>
      <c r="H14" s="312" t="s">
        <v>240</v>
      </c>
      <c r="I14" s="312"/>
      <c r="J14" s="312"/>
      <c r="K14" s="2"/>
      <c r="L14" s="316" t="s">
        <v>424</v>
      </c>
      <c r="M14" s="316"/>
      <c r="N14" s="316"/>
      <c r="O14" s="3"/>
      <c r="P14" s="310" t="s">
        <v>435</v>
      </c>
      <c r="Q14" s="310"/>
      <c r="R14" s="3"/>
      <c r="S14" s="316" t="s">
        <v>449</v>
      </c>
      <c r="T14" s="316"/>
      <c r="U14" s="316"/>
      <c r="V14" s="316"/>
      <c r="W14" s="316"/>
      <c r="X14" s="83"/>
      <c r="Y14" s="316" t="s">
        <v>450</v>
      </c>
      <c r="Z14" s="316"/>
      <c r="AA14" s="316"/>
      <c r="AB14" s="316"/>
      <c r="AC14" s="316"/>
      <c r="AD14" s="310" t="s">
        <v>77</v>
      </c>
      <c r="AE14" s="310"/>
      <c r="AF14" s="3"/>
      <c r="AH14" s="9"/>
      <c r="AI14" s="316" t="s">
        <v>451</v>
      </c>
      <c r="AJ14" s="316"/>
      <c r="AK14" s="316"/>
      <c r="AL14" s="316"/>
      <c r="AM14" s="316"/>
      <c r="AN14" s="83"/>
      <c r="AO14" s="316" t="s">
        <v>442</v>
      </c>
      <c r="AP14" s="316"/>
      <c r="AQ14" s="316"/>
      <c r="AR14" s="316"/>
      <c r="AS14" s="316"/>
      <c r="AT14" s="9"/>
    </row>
    <row r="15" spans="1:47" ht="36" customHeight="1" x14ac:dyDescent="0.2">
      <c r="C15" s="2"/>
      <c r="D15" s="312"/>
      <c r="E15" s="312"/>
      <c r="F15" s="312"/>
      <c r="G15" s="12"/>
      <c r="H15" s="312"/>
      <c r="I15" s="312"/>
      <c r="J15" s="312"/>
      <c r="K15" s="2"/>
      <c r="L15" s="14" t="s">
        <v>425</v>
      </c>
      <c r="M15" s="14"/>
      <c r="N15" s="14" t="s">
        <v>426</v>
      </c>
      <c r="O15" s="3"/>
      <c r="P15" s="310"/>
      <c r="Q15" s="310"/>
      <c r="R15" s="17"/>
      <c r="S15" s="122" t="s">
        <v>439</v>
      </c>
      <c r="T15" s="120"/>
      <c r="U15" s="120" t="s">
        <v>440</v>
      </c>
      <c r="V15" s="120"/>
      <c r="W15" s="120" t="s">
        <v>441</v>
      </c>
      <c r="X15" s="17"/>
      <c r="Y15" s="121" t="s">
        <v>443</v>
      </c>
      <c r="Z15" s="120"/>
      <c r="AA15" s="121" t="s">
        <v>444</v>
      </c>
      <c r="AB15" s="120"/>
      <c r="AC15" s="121" t="s">
        <v>445</v>
      </c>
      <c r="AD15" s="310"/>
      <c r="AE15" s="310"/>
      <c r="AF15" s="3"/>
      <c r="AH15" s="9"/>
      <c r="AI15" s="122" t="s">
        <v>439</v>
      </c>
      <c r="AJ15" s="120"/>
      <c r="AK15" s="120" t="s">
        <v>440</v>
      </c>
      <c r="AL15" s="120"/>
      <c r="AM15" s="120" t="s">
        <v>441</v>
      </c>
      <c r="AN15" s="17"/>
      <c r="AO15" s="121" t="s">
        <v>443</v>
      </c>
      <c r="AP15" s="120"/>
      <c r="AQ15" s="121" t="s">
        <v>444</v>
      </c>
      <c r="AR15" s="120"/>
      <c r="AS15" s="121" t="s">
        <v>445</v>
      </c>
      <c r="AT15" s="9"/>
    </row>
    <row r="16" spans="1:47" ht="17" customHeight="1" x14ac:dyDescent="0.2">
      <c r="C16" s="2"/>
      <c r="D16" s="318" t="s">
        <v>33</v>
      </c>
      <c r="E16" s="318"/>
      <c r="F16" s="318"/>
      <c r="G16" s="7"/>
      <c r="H16" s="309">
        <v>0</v>
      </c>
      <c r="I16" s="309"/>
      <c r="J16" s="309"/>
      <c r="K16" s="2"/>
      <c r="L16" s="133" t="s">
        <v>33</v>
      </c>
      <c r="M16" s="3"/>
      <c r="N16" s="133" t="s">
        <v>33</v>
      </c>
      <c r="O16" s="3"/>
      <c r="P16" s="328" t="s">
        <v>33</v>
      </c>
      <c r="Q16" s="328"/>
      <c r="R16" s="3"/>
      <c r="S16" s="76">
        <f>IF(D16="Please select",0,VLOOKUP(D16,Sheet6!$C$71:$F$81,2,FALSE))</f>
        <v>0</v>
      </c>
      <c r="T16" s="58"/>
      <c r="U16" s="76">
        <f>IF(D16="Please select",0,VLOOKUP(D16,Sheet6!$C$71:$F$81,3,FALSE))</f>
        <v>0</v>
      </c>
      <c r="V16" s="58"/>
      <c r="W16" s="76">
        <f>IF(D16="Please select",0,VLOOKUP(D16,Sheet6!$C$71:$F$81,4,FALSE))</f>
        <v>0</v>
      </c>
      <c r="X16" s="97"/>
      <c r="Y16" s="76">
        <f>IF(L16="Please select",0,VLOOKUP(L16,Sheet6!$C$84:$D$86,2,FALSE))</f>
        <v>0</v>
      </c>
      <c r="Z16" s="120"/>
      <c r="AA16" s="76">
        <f>IF(N16="Please select",0,VLOOKUP(N16,Sheet6!$C$88:$D$91,2,FALSE))</f>
        <v>0</v>
      </c>
      <c r="AB16" s="97"/>
      <c r="AC16" s="76">
        <f>IF(P16="Please select",0,VLOOKUP(P16,Sheet6!$C$93:$D$95,2,FALSE))</f>
        <v>0</v>
      </c>
      <c r="AD16" s="305">
        <f>(IF(AI16&gt;0,AI16,S16)*3.664*H16)+(IF(AK16&gt;0,AK16,U16)*3.664*H16)+(IF(AM16&gt;0,AM16/Start!$W$23,W16/Start!$W$23)*IF(AO16&gt;0,AO16,Y16)*IF(AQ16&gt;0,AQ16,AA16))-(IF(AS16&gt;0,AS16,AC16)*Start!$V$62*3.664)</f>
        <v>0</v>
      </c>
      <c r="AE16" s="305"/>
      <c r="AF16" s="3"/>
      <c r="AH16" s="9"/>
      <c r="AI16" s="135"/>
      <c r="AJ16" s="58"/>
      <c r="AK16" s="135"/>
      <c r="AL16" s="58"/>
      <c r="AM16" s="135"/>
      <c r="AN16" s="97"/>
      <c r="AO16" s="135"/>
      <c r="AP16" s="120"/>
      <c r="AQ16" s="135"/>
      <c r="AR16" s="97"/>
      <c r="AS16" s="135"/>
      <c r="AT16" s="9"/>
    </row>
    <row r="17" spans="3:46" ht="17" customHeight="1" x14ac:dyDescent="0.2">
      <c r="C17" s="2"/>
      <c r="D17" s="318" t="s">
        <v>33</v>
      </c>
      <c r="E17" s="318"/>
      <c r="F17" s="318"/>
      <c r="G17" s="7"/>
      <c r="H17" s="309">
        <v>0</v>
      </c>
      <c r="I17" s="309"/>
      <c r="J17" s="309"/>
      <c r="K17" s="2"/>
      <c r="L17" s="133" t="s">
        <v>33</v>
      </c>
      <c r="M17" s="3"/>
      <c r="N17" s="133" t="s">
        <v>33</v>
      </c>
      <c r="O17" s="3"/>
      <c r="P17" s="328" t="s">
        <v>33</v>
      </c>
      <c r="Q17" s="328"/>
      <c r="R17" s="3"/>
      <c r="S17" s="76">
        <f>IF(D17="Please select",0,VLOOKUP(D17,Sheet6!$C$71:$F$81,2,FALSE))</f>
        <v>0</v>
      </c>
      <c r="T17" s="58"/>
      <c r="U17" s="76">
        <f>IF(D17="Please select",0,VLOOKUP(D17,Sheet6!$C$71:$F$81,3,FALSE))</f>
        <v>0</v>
      </c>
      <c r="V17" s="58"/>
      <c r="W17" s="76">
        <f>IF(D17="Please select",0,VLOOKUP(D17,Sheet6!$C$71:$F$81,4,FALSE))</f>
        <v>0</v>
      </c>
      <c r="X17" s="97"/>
      <c r="Y17" s="76">
        <f>IF(L17="Please select",0,VLOOKUP(L17,Sheet6!$C$84:$D$86,2,FALSE))</f>
        <v>0</v>
      </c>
      <c r="Z17" s="120"/>
      <c r="AA17" s="76">
        <f>IF(N17="Please select",0,VLOOKUP(N17,Sheet6!$C$88:$D$91,2,FALSE))</f>
        <v>0</v>
      </c>
      <c r="AB17" s="97"/>
      <c r="AC17" s="76">
        <f>IF(P17="Please select",0,VLOOKUP(P17,Sheet6!$C$93:$D$95,2,FALSE))</f>
        <v>0</v>
      </c>
      <c r="AD17" s="305">
        <f>(IF(AI17&gt;0,AI17,S17)*3.664*H17)+(IF(AK17&gt;0,AK17,U17)*3.664*H17)+(IF(AM17&gt;0,AM17/Start!$W$23,W17/Start!$W$23)*IF(AO17&gt;0,AO17,Y17)*IF(AQ17&gt;0,AQ17,AA17))-(IF(AS17&gt;0,AS17,AC17)*Start!$V$62*3.664)</f>
        <v>0</v>
      </c>
      <c r="AE17" s="305"/>
      <c r="AF17" s="3"/>
      <c r="AH17" s="9"/>
      <c r="AI17" s="135"/>
      <c r="AJ17" s="58"/>
      <c r="AK17" s="135"/>
      <c r="AL17" s="58"/>
      <c r="AM17" s="135"/>
      <c r="AN17" s="97"/>
      <c r="AO17" s="135"/>
      <c r="AP17" s="120"/>
      <c r="AQ17" s="135"/>
      <c r="AR17" s="97"/>
      <c r="AS17" s="135"/>
      <c r="AT17" s="9"/>
    </row>
    <row r="18" spans="3:46" ht="17" customHeight="1" x14ac:dyDescent="0.2">
      <c r="C18" s="2"/>
      <c r="D18" s="318" t="s">
        <v>33</v>
      </c>
      <c r="E18" s="318"/>
      <c r="F18" s="318"/>
      <c r="G18" s="7"/>
      <c r="H18" s="309">
        <v>0</v>
      </c>
      <c r="I18" s="309"/>
      <c r="J18" s="309"/>
      <c r="K18" s="2"/>
      <c r="L18" s="133" t="s">
        <v>33</v>
      </c>
      <c r="M18" s="3"/>
      <c r="N18" s="133" t="s">
        <v>33</v>
      </c>
      <c r="O18" s="3"/>
      <c r="P18" s="328" t="s">
        <v>33</v>
      </c>
      <c r="Q18" s="328"/>
      <c r="R18" s="3"/>
      <c r="S18" s="76">
        <f>IF(D18="Please select",0,VLOOKUP(D18,Sheet6!$C$71:$F$81,2,FALSE))</f>
        <v>0</v>
      </c>
      <c r="T18" s="58"/>
      <c r="U18" s="76">
        <f>IF(D18="Please select",0,VLOOKUP(D18,Sheet6!$C$71:$F$81,3,FALSE))</f>
        <v>0</v>
      </c>
      <c r="V18" s="58"/>
      <c r="W18" s="76">
        <f>IF(D18="Please select",0,VLOOKUP(D18,Sheet6!$C$71:$F$81,4,FALSE))</f>
        <v>0</v>
      </c>
      <c r="X18" s="97"/>
      <c r="Y18" s="76">
        <f>IF(L18="Please select",0,VLOOKUP(L18,Sheet6!$C$84:$D$86,2,FALSE))</f>
        <v>0</v>
      </c>
      <c r="Z18" s="120"/>
      <c r="AA18" s="76">
        <f>IF(N18="Please select",0,VLOOKUP(N18,Sheet6!$C$88:$D$91,2,FALSE))</f>
        <v>0</v>
      </c>
      <c r="AB18" s="97"/>
      <c r="AC18" s="76">
        <f>IF(P18="Please select",0,VLOOKUP(P18,Sheet6!$C$93:$D$95,2,FALSE))</f>
        <v>0</v>
      </c>
      <c r="AD18" s="305">
        <f>(IF(AI18&gt;0,AI18,S18)*3.664*H18)+(IF(AK18&gt;0,AK18,U18)*3.664*H18)+(IF(AM18&gt;0,AM18/Start!$W$23,W18/Start!$W$23)*IF(AO18&gt;0,AO18,Y18)*IF(AQ18&gt;0,AQ18,AA18))-(IF(AS18&gt;0,AS18,AC18)*Start!$V$62*3.664)</f>
        <v>0</v>
      </c>
      <c r="AE18" s="305"/>
      <c r="AF18" s="3"/>
      <c r="AH18" s="9"/>
      <c r="AI18" s="135"/>
      <c r="AJ18" s="58"/>
      <c r="AK18" s="135"/>
      <c r="AL18" s="58"/>
      <c r="AM18" s="135"/>
      <c r="AN18" s="97"/>
      <c r="AO18" s="135"/>
      <c r="AP18" s="120"/>
      <c r="AQ18" s="135"/>
      <c r="AR18" s="97"/>
      <c r="AS18" s="135"/>
      <c r="AT18" s="9"/>
    </row>
    <row r="19" spans="3:46" ht="17" customHeight="1" x14ac:dyDescent="0.2">
      <c r="C19" s="2"/>
      <c r="D19" s="318" t="s">
        <v>33</v>
      </c>
      <c r="E19" s="318"/>
      <c r="F19" s="318"/>
      <c r="G19" s="7"/>
      <c r="H19" s="309">
        <v>0</v>
      </c>
      <c r="I19" s="309"/>
      <c r="J19" s="309"/>
      <c r="K19" s="2"/>
      <c r="L19" s="133" t="s">
        <v>33</v>
      </c>
      <c r="M19" s="3"/>
      <c r="N19" s="133" t="s">
        <v>33</v>
      </c>
      <c r="O19" s="3"/>
      <c r="P19" s="328" t="s">
        <v>33</v>
      </c>
      <c r="Q19" s="328"/>
      <c r="R19" s="3"/>
      <c r="S19" s="76">
        <f>IF(D19="Please select",0,VLOOKUP(D19,Sheet6!$C$71:$F$81,2,FALSE))</f>
        <v>0</v>
      </c>
      <c r="T19" s="58"/>
      <c r="U19" s="76">
        <f>IF(D19="Please select",0,VLOOKUP(D19,Sheet6!$C$71:$F$81,3,FALSE))</f>
        <v>0</v>
      </c>
      <c r="V19" s="58"/>
      <c r="W19" s="76">
        <f>IF(D19="Please select",0,VLOOKUP(D19,Sheet6!$C$71:$F$81,4,FALSE))</f>
        <v>0</v>
      </c>
      <c r="X19" s="97"/>
      <c r="Y19" s="76">
        <f>IF(L19="Please select",0,VLOOKUP(L19,Sheet6!$C$84:$D$86,2,FALSE))</f>
        <v>0</v>
      </c>
      <c r="Z19" s="120"/>
      <c r="AA19" s="76">
        <f>IF(N19="Please select",0,VLOOKUP(N19,Sheet6!$C$88:$D$91,2,FALSE))</f>
        <v>0</v>
      </c>
      <c r="AB19" s="97"/>
      <c r="AC19" s="76">
        <f>IF(P19="Please select",0,VLOOKUP(P19,Sheet6!$C$93:$D$95,2,FALSE))</f>
        <v>0</v>
      </c>
      <c r="AD19" s="305">
        <f>(IF(AI19&gt;0,AI19,S19)*3.664*H19)+(IF(AK19&gt;0,AK19,U19)*3.664*H19)+(IF(AM19&gt;0,AM19/Start!$W$23,W19/Start!$W$23)*IF(AO19&gt;0,AO19,Y19)*IF(AQ19&gt;0,AQ19,AA19))-(IF(AS19&gt;0,AS19,AC19)*Start!$V$62*3.664)</f>
        <v>0</v>
      </c>
      <c r="AE19" s="305"/>
      <c r="AF19" s="3"/>
      <c r="AH19" s="9"/>
      <c r="AI19" s="135"/>
      <c r="AJ19" s="58"/>
      <c r="AK19" s="135"/>
      <c r="AL19" s="58"/>
      <c r="AM19" s="135"/>
      <c r="AN19" s="97"/>
      <c r="AO19" s="135"/>
      <c r="AP19" s="120"/>
      <c r="AQ19" s="135"/>
      <c r="AR19" s="97"/>
      <c r="AS19" s="135"/>
      <c r="AT19" s="9"/>
    </row>
    <row r="20" spans="3:46" ht="17" customHeight="1" x14ac:dyDescent="0.2">
      <c r="C20" s="2"/>
      <c r="D20" s="318" t="s">
        <v>33</v>
      </c>
      <c r="E20" s="318"/>
      <c r="F20" s="318"/>
      <c r="G20" s="7"/>
      <c r="H20" s="309">
        <v>0</v>
      </c>
      <c r="I20" s="309"/>
      <c r="J20" s="309"/>
      <c r="K20" s="2"/>
      <c r="L20" s="133" t="s">
        <v>33</v>
      </c>
      <c r="M20" s="3"/>
      <c r="N20" s="133" t="s">
        <v>33</v>
      </c>
      <c r="O20" s="3"/>
      <c r="P20" s="328" t="s">
        <v>33</v>
      </c>
      <c r="Q20" s="328"/>
      <c r="R20" s="3"/>
      <c r="S20" s="76">
        <f>IF(D20="Please select",0,VLOOKUP(D20,Sheet6!$C$71:$F$81,2,FALSE))</f>
        <v>0</v>
      </c>
      <c r="T20" s="58"/>
      <c r="U20" s="76">
        <f>IF(D20="Please select",0,VLOOKUP(D20,Sheet6!$C$71:$F$81,3,FALSE))</f>
        <v>0</v>
      </c>
      <c r="V20" s="58"/>
      <c r="W20" s="76">
        <f>IF(D20="Please select",0,VLOOKUP(D20,Sheet6!$C$71:$F$81,4,FALSE))</f>
        <v>0</v>
      </c>
      <c r="X20" s="97"/>
      <c r="Y20" s="76">
        <f>IF(L20="Please select",0,VLOOKUP(L20,Sheet6!$C$84:$D$86,2,FALSE))</f>
        <v>0</v>
      </c>
      <c r="Z20" s="120"/>
      <c r="AA20" s="76">
        <f>IF(N20="Please select",0,VLOOKUP(N20,Sheet6!$C$88:$D$91,2,FALSE))</f>
        <v>0</v>
      </c>
      <c r="AB20" s="97"/>
      <c r="AC20" s="76">
        <f>IF(P20="Please select",0,VLOOKUP(P20,Sheet6!$C$93:$D$95,2,FALSE))</f>
        <v>0</v>
      </c>
      <c r="AD20" s="305">
        <f>(IF(AI20&gt;0,AI20,S20)*3.664*H20)+(IF(AK20&gt;0,AK20,U20)*3.664*H20)+(IF(AM20&gt;0,AM20/Start!$W$23,W20/Start!$W$23)*IF(AO20&gt;0,AO20,Y20)*IF(AQ20&gt;0,AQ20,AA20))-(IF(AS20&gt;0,AS20,AC20)*Start!$V$62*3.664)</f>
        <v>0</v>
      </c>
      <c r="AE20" s="305"/>
      <c r="AF20" s="3"/>
      <c r="AH20" s="9"/>
      <c r="AI20" s="135"/>
      <c r="AJ20" s="58"/>
      <c r="AK20" s="135"/>
      <c r="AL20" s="58"/>
      <c r="AM20" s="135"/>
      <c r="AN20" s="97"/>
      <c r="AO20" s="135"/>
      <c r="AP20" s="120"/>
      <c r="AQ20" s="135"/>
      <c r="AR20" s="97"/>
      <c r="AS20" s="135"/>
      <c r="AT20" s="9"/>
    </row>
    <row r="21" spans="3:46" ht="17" customHeight="1" x14ac:dyDescent="0.2">
      <c r="C21" s="2"/>
      <c r="D21" s="318" t="s">
        <v>33</v>
      </c>
      <c r="E21" s="318"/>
      <c r="F21" s="318"/>
      <c r="G21" s="7"/>
      <c r="H21" s="309">
        <v>0</v>
      </c>
      <c r="I21" s="309"/>
      <c r="J21" s="309"/>
      <c r="K21" s="2"/>
      <c r="L21" s="133" t="s">
        <v>33</v>
      </c>
      <c r="M21" s="3"/>
      <c r="N21" s="133" t="s">
        <v>33</v>
      </c>
      <c r="O21" s="3"/>
      <c r="P21" s="328" t="s">
        <v>33</v>
      </c>
      <c r="Q21" s="328"/>
      <c r="R21" s="3"/>
      <c r="S21" s="76">
        <f>IF(D21="Please select",0,VLOOKUP(D21,Sheet6!$C$71:$F$81,2,FALSE))</f>
        <v>0</v>
      </c>
      <c r="T21" s="58"/>
      <c r="U21" s="76">
        <f>IF(D21="Please select",0,VLOOKUP(D21,Sheet6!$C$71:$F$81,3,FALSE))</f>
        <v>0</v>
      </c>
      <c r="V21" s="58"/>
      <c r="W21" s="76">
        <f>IF(D21="Please select",0,VLOOKUP(D21,Sheet6!$C$71:$F$81,4,FALSE))</f>
        <v>0</v>
      </c>
      <c r="X21" s="97"/>
      <c r="Y21" s="76">
        <f>IF(L21="Please select",0,VLOOKUP(L21,Sheet6!$C$84:$D$86,2,FALSE))</f>
        <v>0</v>
      </c>
      <c r="Z21" s="120"/>
      <c r="AA21" s="76">
        <f>IF(N21="Please select",0,VLOOKUP(N21,Sheet6!$C$88:$D$91,2,FALSE))</f>
        <v>0</v>
      </c>
      <c r="AB21" s="97"/>
      <c r="AC21" s="76">
        <f>IF(P21="Please select",0,VLOOKUP(P21,Sheet6!$C$93:$D$95,2,FALSE))</f>
        <v>0</v>
      </c>
      <c r="AD21" s="311">
        <f>(IF(AI21&gt;0,AI21,S21)*3.664*H21)+(IF(AK21&gt;0,AK21,U21)*3.664*H21)+(IF(AM21&gt;0,AM21/Start!$W$23,W21/Start!$W$23)*IF(AO21&gt;0,AO21,Y21)*IF(AQ21&gt;0,AQ21,AA21))-(IF(AS21&gt;0,AS21,AC21)*Start!$V$62*3.664)</f>
        <v>0</v>
      </c>
      <c r="AE21" s="311"/>
      <c r="AF21" s="3"/>
      <c r="AH21" s="9"/>
      <c r="AI21" s="135"/>
      <c r="AJ21" s="58"/>
      <c r="AK21" s="135"/>
      <c r="AL21" s="58"/>
      <c r="AM21" s="135"/>
      <c r="AN21" s="97"/>
      <c r="AO21" s="135"/>
      <c r="AP21" s="120"/>
      <c r="AQ21" s="135"/>
      <c r="AR21" s="97"/>
      <c r="AS21" s="135"/>
      <c r="AT21" s="9"/>
    </row>
    <row r="22" spans="3:46" x14ac:dyDescent="0.2">
      <c r="C22" s="2"/>
      <c r="D22" s="5"/>
      <c r="E22" s="6"/>
      <c r="F22" s="6"/>
      <c r="G22" s="7"/>
      <c r="H22" s="7"/>
      <c r="I22" s="2"/>
      <c r="J22" s="2"/>
      <c r="K22" s="2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06">
        <f>SUM(AD16:AE21)</f>
        <v>0</v>
      </c>
      <c r="AE22" s="306"/>
      <c r="AF22" s="3"/>
      <c r="AH22" s="9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9"/>
    </row>
    <row r="23" spans="3:46" x14ac:dyDescent="0.2">
      <c r="C23" s="2"/>
      <c r="D23" s="75"/>
      <c r="E23" s="6"/>
      <c r="F23" s="6"/>
      <c r="G23" s="7"/>
      <c r="H23" s="7"/>
      <c r="I23" s="2"/>
      <c r="J23" s="2"/>
      <c r="K23" s="2"/>
      <c r="L23" s="3"/>
      <c r="M23" s="3"/>
      <c r="N23" s="3"/>
      <c r="O23" s="3"/>
      <c r="P23" s="3"/>
      <c r="Q23" s="3"/>
      <c r="R23" s="3"/>
      <c r="S23" s="3"/>
      <c r="T23" s="75"/>
      <c r="U23" s="3"/>
      <c r="V23" s="3"/>
      <c r="W23" s="3"/>
      <c r="X23" s="3"/>
      <c r="Y23" s="3"/>
      <c r="Z23" s="3"/>
      <c r="AA23" s="3"/>
      <c r="AB23" s="3"/>
      <c r="AC23" s="3"/>
      <c r="AD23" s="305"/>
      <c r="AE23" s="305"/>
      <c r="AF23" s="3"/>
      <c r="AH23" s="9"/>
      <c r="AI23" s="3"/>
      <c r="AJ23" s="75"/>
      <c r="AK23" s="3"/>
      <c r="AL23" s="3"/>
      <c r="AM23" s="3"/>
      <c r="AN23" s="3"/>
      <c r="AO23" s="3"/>
      <c r="AP23" s="3"/>
      <c r="AQ23" s="3"/>
      <c r="AR23" s="3"/>
      <c r="AS23" s="3"/>
      <c r="AT23" s="9"/>
    </row>
    <row r="24" spans="3:46" x14ac:dyDescent="0.2">
      <c r="C24" s="2"/>
      <c r="D24" s="75"/>
      <c r="E24" s="6"/>
      <c r="F24" s="6"/>
      <c r="G24" s="7"/>
      <c r="H24" s="7"/>
      <c r="I24" s="2"/>
      <c r="J24" s="2"/>
      <c r="K24" s="2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H24" s="9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9"/>
    </row>
    <row r="29" spans="3:46" ht="30" customHeight="1" x14ac:dyDescent="0.2">
      <c r="C29" s="78" t="s">
        <v>360</v>
      </c>
      <c r="D29" s="4" t="s">
        <v>256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H29" s="86" t="s">
        <v>176</v>
      </c>
      <c r="AI29" s="322" t="s">
        <v>79</v>
      </c>
      <c r="AJ29" s="322"/>
      <c r="AK29" s="322"/>
      <c r="AL29" s="322"/>
      <c r="AM29" s="322"/>
      <c r="AN29" s="322"/>
      <c r="AO29" s="322"/>
      <c r="AP29" s="322"/>
      <c r="AQ29" s="322"/>
      <c r="AR29" s="322"/>
      <c r="AS29" s="322"/>
      <c r="AT29" s="322"/>
    </row>
    <row r="30" spans="3:46" ht="7.25" customHeight="1" x14ac:dyDescent="0.2">
      <c r="D30" s="92"/>
    </row>
    <row r="31" spans="3:46" x14ac:dyDescent="0.2">
      <c r="C31" s="2"/>
      <c r="D31" s="2"/>
      <c r="E31" s="2"/>
      <c r="F31" s="2"/>
      <c r="G31" s="2"/>
      <c r="H31" s="2"/>
      <c r="I31" s="2"/>
      <c r="J31" s="2"/>
      <c r="K31" s="2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H31" s="9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9"/>
    </row>
    <row r="32" spans="3:46" ht="35.5" customHeight="1" x14ac:dyDescent="0.2">
      <c r="C32" s="2"/>
      <c r="D32" s="312" t="s">
        <v>423</v>
      </c>
      <c r="E32" s="312"/>
      <c r="F32" s="312"/>
      <c r="G32" s="2"/>
      <c r="H32" s="312" t="s">
        <v>240</v>
      </c>
      <c r="I32" s="312"/>
      <c r="J32" s="312"/>
      <c r="K32" s="2"/>
      <c r="L32" s="316" t="s">
        <v>424</v>
      </c>
      <c r="M32" s="316"/>
      <c r="N32" s="316"/>
      <c r="O32" s="3"/>
      <c r="P32" s="310" t="s">
        <v>435</v>
      </c>
      <c r="Q32" s="310"/>
      <c r="R32" s="3"/>
      <c r="S32" s="316" t="s">
        <v>449</v>
      </c>
      <c r="T32" s="316"/>
      <c r="U32" s="316"/>
      <c r="V32" s="316"/>
      <c r="W32" s="316"/>
      <c r="X32" s="83"/>
      <c r="Y32" s="316" t="s">
        <v>450</v>
      </c>
      <c r="Z32" s="316"/>
      <c r="AA32" s="316"/>
      <c r="AB32" s="316"/>
      <c r="AC32" s="316"/>
      <c r="AD32" s="310" t="s">
        <v>77</v>
      </c>
      <c r="AE32" s="310"/>
      <c r="AF32" s="3"/>
      <c r="AH32" s="9"/>
      <c r="AI32" s="316" t="s">
        <v>451</v>
      </c>
      <c r="AJ32" s="316"/>
      <c r="AK32" s="316"/>
      <c r="AL32" s="316"/>
      <c r="AM32" s="316"/>
      <c r="AN32" s="83"/>
      <c r="AO32" s="316" t="s">
        <v>442</v>
      </c>
      <c r="AP32" s="316"/>
      <c r="AQ32" s="316"/>
      <c r="AR32" s="316"/>
      <c r="AS32" s="316"/>
      <c r="AT32" s="9"/>
    </row>
    <row r="33" spans="3:46" ht="36" customHeight="1" x14ac:dyDescent="0.2">
      <c r="C33" s="2"/>
      <c r="D33" s="312"/>
      <c r="E33" s="312"/>
      <c r="F33" s="312"/>
      <c r="G33" s="12"/>
      <c r="H33" s="312"/>
      <c r="I33" s="312"/>
      <c r="J33" s="312"/>
      <c r="K33" s="2"/>
      <c r="L33" s="14" t="s">
        <v>425</v>
      </c>
      <c r="M33" s="14"/>
      <c r="N33" s="14" t="s">
        <v>426</v>
      </c>
      <c r="O33" s="3"/>
      <c r="P33" s="310"/>
      <c r="Q33" s="310"/>
      <c r="R33" s="17"/>
      <c r="S33" s="122" t="s">
        <v>439</v>
      </c>
      <c r="T33" s="120"/>
      <c r="U33" s="120" t="s">
        <v>440</v>
      </c>
      <c r="V33" s="120"/>
      <c r="W33" s="120" t="s">
        <v>441</v>
      </c>
      <c r="X33" s="17"/>
      <c r="Y33" s="121" t="s">
        <v>443</v>
      </c>
      <c r="Z33" s="120"/>
      <c r="AA33" s="121" t="s">
        <v>444</v>
      </c>
      <c r="AB33" s="120"/>
      <c r="AC33" s="121" t="s">
        <v>445</v>
      </c>
      <c r="AD33" s="310"/>
      <c r="AE33" s="310"/>
      <c r="AF33" s="3"/>
      <c r="AH33" s="9"/>
      <c r="AI33" s="122" t="s">
        <v>439</v>
      </c>
      <c r="AJ33" s="120"/>
      <c r="AK33" s="120" t="s">
        <v>440</v>
      </c>
      <c r="AL33" s="120"/>
      <c r="AM33" s="120" t="s">
        <v>441</v>
      </c>
      <c r="AN33" s="17"/>
      <c r="AO33" s="121" t="s">
        <v>443</v>
      </c>
      <c r="AP33" s="120"/>
      <c r="AQ33" s="121" t="s">
        <v>444</v>
      </c>
      <c r="AR33" s="120"/>
      <c r="AS33" s="121" t="s">
        <v>445</v>
      </c>
      <c r="AT33" s="9"/>
    </row>
    <row r="34" spans="3:46" ht="17" customHeight="1" x14ac:dyDescent="0.2">
      <c r="C34" s="2"/>
      <c r="D34" s="318" t="s">
        <v>33</v>
      </c>
      <c r="E34" s="318"/>
      <c r="F34" s="318"/>
      <c r="G34" s="7"/>
      <c r="H34" s="309">
        <v>0</v>
      </c>
      <c r="I34" s="309"/>
      <c r="J34" s="309"/>
      <c r="K34" s="2"/>
      <c r="L34" s="133" t="s">
        <v>427</v>
      </c>
      <c r="M34" s="3"/>
      <c r="N34" s="133" t="s">
        <v>33</v>
      </c>
      <c r="O34" s="3"/>
      <c r="P34" s="328" t="s">
        <v>33</v>
      </c>
      <c r="Q34" s="328"/>
      <c r="R34" s="3"/>
      <c r="S34" s="76">
        <f>IF(D34="Please select",0,VLOOKUP(D34,Sheet6!$C$71:$F$81,2,FALSE))</f>
        <v>0</v>
      </c>
      <c r="T34" s="58"/>
      <c r="U34" s="76">
        <f>IF(D34="Please select",0,VLOOKUP(D34,Sheet6!$C$71:$F$81,3,FALSE))</f>
        <v>0</v>
      </c>
      <c r="V34" s="58"/>
      <c r="W34" s="76">
        <f>IF(D34="Please select",0,VLOOKUP(D34,Sheet6!$C$71:$F$81,4,FALSE))</f>
        <v>0</v>
      </c>
      <c r="X34" s="97"/>
      <c r="Y34" s="76">
        <f>IF(L34="Please select",0,VLOOKUP(L34,Sheet6!$C$84:$D$86,2,FALSE))</f>
        <v>1</v>
      </c>
      <c r="Z34" s="120"/>
      <c r="AA34" s="76">
        <f>IF(N34="Please select",0,VLOOKUP(N34,Sheet6!$C$88:$D$91,2,FALSE))</f>
        <v>0</v>
      </c>
      <c r="AB34" s="97"/>
      <c r="AC34" s="76">
        <f>IF(P34="Please select",0,VLOOKUP(P34,Sheet6!$C$93:$D$95,2,FALSE))</f>
        <v>0</v>
      </c>
      <c r="AD34" s="305">
        <f>(IF(AI34&gt;0,AI34,S34)*3.664*H34)+(IF(AK34&gt;0,AK34,U34)*3.664*H34)+(IF(AM34&gt;0,AM34/Start!$W$23,W34/Start!$W$23)*IF(AO34&gt;0,AO34,Y34)*IF(AQ34&gt;0,AQ34,AA34))-(IF(AS34&gt;0,AS34,AC34)*Start!$V$62*3.664)</f>
        <v>0</v>
      </c>
      <c r="AE34" s="305"/>
      <c r="AF34" s="3"/>
      <c r="AH34" s="9"/>
      <c r="AI34" s="135"/>
      <c r="AJ34" s="58"/>
      <c r="AK34" s="135"/>
      <c r="AL34" s="58"/>
      <c r="AM34" s="135"/>
      <c r="AN34" s="97"/>
      <c r="AO34" s="135"/>
      <c r="AP34" s="120"/>
      <c r="AQ34" s="135"/>
      <c r="AR34" s="97"/>
      <c r="AS34" s="135"/>
      <c r="AT34" s="9"/>
    </row>
    <row r="35" spans="3:46" ht="17" customHeight="1" x14ac:dyDescent="0.2">
      <c r="C35" s="2"/>
      <c r="D35" s="318" t="s">
        <v>33</v>
      </c>
      <c r="E35" s="318"/>
      <c r="F35" s="318"/>
      <c r="G35" s="7"/>
      <c r="H35" s="309">
        <v>0</v>
      </c>
      <c r="I35" s="309"/>
      <c r="J35" s="309"/>
      <c r="K35" s="2"/>
      <c r="L35" s="133" t="s">
        <v>33</v>
      </c>
      <c r="M35" s="3"/>
      <c r="N35" s="133" t="s">
        <v>33</v>
      </c>
      <c r="O35" s="3"/>
      <c r="P35" s="328" t="s">
        <v>33</v>
      </c>
      <c r="Q35" s="328"/>
      <c r="R35" s="3"/>
      <c r="S35" s="76">
        <f>IF(D35="Please select",0,VLOOKUP(D35,Sheet6!$C$71:$F$81,2,FALSE))</f>
        <v>0</v>
      </c>
      <c r="T35" s="58"/>
      <c r="U35" s="76">
        <f>IF(D35="Please select",0,VLOOKUP(D35,Sheet6!$C$71:$F$81,3,FALSE))</f>
        <v>0</v>
      </c>
      <c r="V35" s="58"/>
      <c r="W35" s="76">
        <f>IF(D35="Please select",0,VLOOKUP(D35,Sheet6!$C$71:$F$81,4,FALSE))</f>
        <v>0</v>
      </c>
      <c r="X35" s="97"/>
      <c r="Y35" s="76">
        <f>IF(L35="Please select",0,VLOOKUP(L35,Sheet6!$C$84:$D$86,2,FALSE))</f>
        <v>0</v>
      </c>
      <c r="Z35" s="120"/>
      <c r="AA35" s="76">
        <f>IF(N35="Please select",0,VLOOKUP(N35,Sheet6!$C$88:$D$91,2,FALSE))</f>
        <v>0</v>
      </c>
      <c r="AB35" s="97"/>
      <c r="AC35" s="76">
        <f>IF(P35="Please select",0,VLOOKUP(P35,Sheet6!$C$93:$D$95,2,FALSE))</f>
        <v>0</v>
      </c>
      <c r="AD35" s="305">
        <f>(IF(AI35&gt;0,AI35,S35)*3.664*H35)+(IF(AK35&gt;0,AK35,U35)*3.664*H35)+(IF(AM35&gt;0,AM35/Start!$W$23,W35/Start!$W$23)*IF(AO35&gt;0,AO35,Y35)*IF(AQ35&gt;0,AQ35,AA35))-(IF(AS35&gt;0,AS35,AC35)*Start!$V$62*3.664)</f>
        <v>0</v>
      </c>
      <c r="AE35" s="305"/>
      <c r="AF35" s="3"/>
      <c r="AH35" s="9"/>
      <c r="AI35" s="135"/>
      <c r="AJ35" s="58"/>
      <c r="AK35" s="135"/>
      <c r="AL35" s="58"/>
      <c r="AM35" s="135"/>
      <c r="AN35" s="97"/>
      <c r="AO35" s="135"/>
      <c r="AP35" s="120"/>
      <c r="AQ35" s="135"/>
      <c r="AR35" s="97"/>
      <c r="AS35" s="135"/>
      <c r="AT35" s="9"/>
    </row>
    <row r="36" spans="3:46" ht="17" customHeight="1" x14ac:dyDescent="0.2">
      <c r="C36" s="2"/>
      <c r="D36" s="318" t="s">
        <v>33</v>
      </c>
      <c r="E36" s="318"/>
      <c r="F36" s="318"/>
      <c r="G36" s="7"/>
      <c r="H36" s="309">
        <v>0</v>
      </c>
      <c r="I36" s="309"/>
      <c r="J36" s="309"/>
      <c r="K36" s="2"/>
      <c r="L36" s="133" t="s">
        <v>33</v>
      </c>
      <c r="M36" s="3"/>
      <c r="N36" s="133" t="s">
        <v>33</v>
      </c>
      <c r="O36" s="3"/>
      <c r="P36" s="328" t="s">
        <v>33</v>
      </c>
      <c r="Q36" s="328"/>
      <c r="R36" s="3"/>
      <c r="S36" s="76">
        <f>IF(D36="Please select",0,VLOOKUP(D36,Sheet6!$C$71:$F$81,2,FALSE))</f>
        <v>0</v>
      </c>
      <c r="T36" s="58"/>
      <c r="U36" s="76">
        <f>IF(D36="Please select",0,VLOOKUP(D36,Sheet6!$C$71:$F$81,3,FALSE))</f>
        <v>0</v>
      </c>
      <c r="V36" s="58"/>
      <c r="W36" s="76">
        <f>IF(D36="Please select",0,VLOOKUP(D36,Sheet6!$C$71:$F$81,4,FALSE))</f>
        <v>0</v>
      </c>
      <c r="X36" s="97"/>
      <c r="Y36" s="76">
        <f>IF(L36="Please select",0,VLOOKUP(L36,Sheet6!$C$84:$D$86,2,FALSE))</f>
        <v>0</v>
      </c>
      <c r="Z36" s="120"/>
      <c r="AA36" s="76">
        <f>IF(N36="Please select",0,VLOOKUP(N36,Sheet6!$C$88:$D$91,2,FALSE))</f>
        <v>0</v>
      </c>
      <c r="AB36" s="97"/>
      <c r="AC36" s="76">
        <f>IF(P36="Please select",0,VLOOKUP(P36,Sheet6!$C$93:$D$95,2,FALSE))</f>
        <v>0</v>
      </c>
      <c r="AD36" s="305">
        <f>(IF(AI36&gt;0,AI36,S36)*3.664*H36)+(IF(AK36&gt;0,AK36,U36)*3.664*H36)+(IF(AM36&gt;0,AM36/Start!$W$23,W36/Start!$W$23)*IF(AO36&gt;0,AO36,Y36)*IF(AQ36&gt;0,AQ36,AA36))-(IF(AS36&gt;0,AS36,AC36)*Start!$V$62*3.664)</f>
        <v>0</v>
      </c>
      <c r="AE36" s="305"/>
      <c r="AF36" s="3"/>
      <c r="AH36" s="9"/>
      <c r="AI36" s="135"/>
      <c r="AJ36" s="58"/>
      <c r="AK36" s="135"/>
      <c r="AL36" s="58"/>
      <c r="AM36" s="135"/>
      <c r="AN36" s="97"/>
      <c r="AO36" s="135"/>
      <c r="AP36" s="120"/>
      <c r="AQ36" s="135"/>
      <c r="AR36" s="97"/>
      <c r="AS36" s="135"/>
      <c r="AT36" s="9"/>
    </row>
    <row r="37" spans="3:46" ht="17" customHeight="1" x14ac:dyDescent="0.2">
      <c r="C37" s="2"/>
      <c r="D37" s="318" t="s">
        <v>33</v>
      </c>
      <c r="E37" s="318"/>
      <c r="F37" s="318"/>
      <c r="G37" s="7"/>
      <c r="H37" s="309">
        <v>0</v>
      </c>
      <c r="I37" s="309"/>
      <c r="J37" s="309"/>
      <c r="K37" s="2"/>
      <c r="L37" s="133" t="s">
        <v>33</v>
      </c>
      <c r="M37" s="3"/>
      <c r="N37" s="133" t="s">
        <v>33</v>
      </c>
      <c r="O37" s="3"/>
      <c r="P37" s="328" t="s">
        <v>33</v>
      </c>
      <c r="Q37" s="328"/>
      <c r="R37" s="3"/>
      <c r="S37" s="76">
        <f>IF(D37="Please select",0,VLOOKUP(D37,Sheet6!$C$71:$F$81,2,FALSE))</f>
        <v>0</v>
      </c>
      <c r="T37" s="58"/>
      <c r="U37" s="76">
        <f>IF(D37="Please select",0,VLOOKUP(D37,Sheet6!$C$71:$F$81,3,FALSE))</f>
        <v>0</v>
      </c>
      <c r="V37" s="58"/>
      <c r="W37" s="76">
        <f>IF(D37="Please select",0,VLOOKUP(D37,Sheet6!$C$71:$F$81,4,FALSE))</f>
        <v>0</v>
      </c>
      <c r="X37" s="97"/>
      <c r="Y37" s="76">
        <f>IF(L37="Please select",0,VLOOKUP(L37,Sheet6!$C$84:$D$86,2,FALSE))</f>
        <v>0</v>
      </c>
      <c r="Z37" s="120"/>
      <c r="AA37" s="76">
        <f>IF(N37="Please select",0,VLOOKUP(N37,Sheet6!$C$88:$D$91,2,FALSE))</f>
        <v>0</v>
      </c>
      <c r="AB37" s="97"/>
      <c r="AC37" s="76">
        <f>IF(P37="Please select",0,VLOOKUP(P37,Sheet6!$C$93:$D$95,2,FALSE))</f>
        <v>0</v>
      </c>
      <c r="AD37" s="305">
        <f>(IF(AI37&gt;0,AI37,S37)*3.664*H37)+(IF(AK37&gt;0,AK37,U37)*3.664*H37)+(IF(AM37&gt;0,AM37/Start!$W$23,W37/Start!$W$23)*IF(AO37&gt;0,AO37,Y37)*IF(AQ37&gt;0,AQ37,AA37))-(IF(AS37&gt;0,AS37,AC37)*Start!$V$62*3.664)</f>
        <v>0</v>
      </c>
      <c r="AE37" s="305"/>
      <c r="AF37" s="3"/>
      <c r="AH37" s="9"/>
      <c r="AI37" s="135"/>
      <c r="AJ37" s="58"/>
      <c r="AK37" s="135"/>
      <c r="AL37" s="58"/>
      <c r="AM37" s="135"/>
      <c r="AN37" s="97"/>
      <c r="AO37" s="135"/>
      <c r="AP37" s="120"/>
      <c r="AQ37" s="135"/>
      <c r="AR37" s="97"/>
      <c r="AS37" s="135"/>
      <c r="AT37" s="9"/>
    </row>
    <row r="38" spans="3:46" ht="17" customHeight="1" x14ac:dyDescent="0.2">
      <c r="C38" s="2"/>
      <c r="D38" s="318" t="s">
        <v>33</v>
      </c>
      <c r="E38" s="318"/>
      <c r="F38" s="318"/>
      <c r="G38" s="7"/>
      <c r="H38" s="309">
        <v>0</v>
      </c>
      <c r="I38" s="309"/>
      <c r="J38" s="309"/>
      <c r="K38" s="2"/>
      <c r="L38" s="133" t="s">
        <v>33</v>
      </c>
      <c r="M38" s="3"/>
      <c r="N38" s="133" t="s">
        <v>33</v>
      </c>
      <c r="O38" s="3"/>
      <c r="P38" s="328" t="s">
        <v>33</v>
      </c>
      <c r="Q38" s="328"/>
      <c r="R38" s="3"/>
      <c r="S38" s="76">
        <f>IF(D38="Please select",0,VLOOKUP(D38,Sheet6!$C$71:$F$81,2,FALSE))</f>
        <v>0</v>
      </c>
      <c r="T38" s="58"/>
      <c r="U38" s="76">
        <f>IF(D38="Please select",0,VLOOKUP(D38,Sheet6!$C$71:$F$81,3,FALSE))</f>
        <v>0</v>
      </c>
      <c r="V38" s="58"/>
      <c r="W38" s="76">
        <f>IF(D38="Please select",0,VLOOKUP(D38,Sheet6!$C$71:$F$81,4,FALSE))</f>
        <v>0</v>
      </c>
      <c r="X38" s="97"/>
      <c r="Y38" s="76">
        <f>IF(L38="Please select",0,VLOOKUP(L38,Sheet6!$C$84:$D$86,2,FALSE))</f>
        <v>0</v>
      </c>
      <c r="Z38" s="120"/>
      <c r="AA38" s="76">
        <f>IF(N38="Please select",0,VLOOKUP(N38,Sheet6!$C$88:$D$91,2,FALSE))</f>
        <v>0</v>
      </c>
      <c r="AB38" s="97"/>
      <c r="AC38" s="76">
        <f>IF(P38="Please select",0,VLOOKUP(P38,Sheet6!$C$93:$D$95,2,FALSE))</f>
        <v>0</v>
      </c>
      <c r="AD38" s="305">
        <f>(IF(AI38&gt;0,AI38,S38)*3.664*H38)+(IF(AK38&gt;0,AK38,U38)*3.664*H38)+(IF(AM38&gt;0,AM38/Start!$W$23,W38/Start!$W$23)*IF(AO38&gt;0,AO38,Y38)*IF(AQ38&gt;0,AQ38,AA38))-(IF(AS38&gt;0,AS38,AC38)*Start!$V$62*3.664)</f>
        <v>0</v>
      </c>
      <c r="AE38" s="305"/>
      <c r="AF38" s="3"/>
      <c r="AH38" s="9"/>
      <c r="AI38" s="135"/>
      <c r="AJ38" s="58"/>
      <c r="AK38" s="135"/>
      <c r="AL38" s="58"/>
      <c r="AM38" s="135"/>
      <c r="AN38" s="97"/>
      <c r="AO38" s="135"/>
      <c r="AP38" s="120"/>
      <c r="AQ38" s="135"/>
      <c r="AR38" s="97"/>
      <c r="AS38" s="135"/>
      <c r="AT38" s="9"/>
    </row>
    <row r="39" spans="3:46" ht="17" customHeight="1" x14ac:dyDescent="0.2">
      <c r="C39" s="2"/>
      <c r="D39" s="318" t="s">
        <v>33</v>
      </c>
      <c r="E39" s="318"/>
      <c r="F39" s="318"/>
      <c r="G39" s="7"/>
      <c r="H39" s="309">
        <v>0</v>
      </c>
      <c r="I39" s="309"/>
      <c r="J39" s="309"/>
      <c r="K39" s="2"/>
      <c r="L39" s="133" t="s">
        <v>33</v>
      </c>
      <c r="M39" s="3"/>
      <c r="N39" s="133" t="s">
        <v>33</v>
      </c>
      <c r="O39" s="3"/>
      <c r="P39" s="328" t="s">
        <v>33</v>
      </c>
      <c r="Q39" s="328"/>
      <c r="R39" s="3"/>
      <c r="S39" s="76">
        <f>IF(D39="Please select",0,VLOOKUP(D39,Sheet6!$C$71:$F$81,2,FALSE))</f>
        <v>0</v>
      </c>
      <c r="T39" s="58"/>
      <c r="U39" s="76">
        <f>IF(D39="Please select",0,VLOOKUP(D39,Sheet6!$C$71:$F$81,3,FALSE))</f>
        <v>0</v>
      </c>
      <c r="V39" s="58"/>
      <c r="W39" s="76">
        <f>IF(D39="Please select",0,VLOOKUP(D39,Sheet6!$C$71:$F$81,4,FALSE))</f>
        <v>0</v>
      </c>
      <c r="X39" s="97"/>
      <c r="Y39" s="76">
        <f>IF(L39="Please select",0,VLOOKUP(L39,Sheet6!$C$84:$D$86,2,FALSE))</f>
        <v>0</v>
      </c>
      <c r="Z39" s="120"/>
      <c r="AA39" s="76">
        <f>IF(N39="Please select",0,VLOOKUP(N39,Sheet6!$C$88:$D$91,2,FALSE))</f>
        <v>0</v>
      </c>
      <c r="AB39" s="97"/>
      <c r="AC39" s="76">
        <f>IF(P39="Please select",0,VLOOKUP(P39,Sheet6!$C$93:$D$95,2,FALSE))</f>
        <v>0</v>
      </c>
      <c r="AD39" s="311">
        <f>(IF(AI39&gt;0,AI39,S39)*3.664*H39)+(IF(AK39&gt;0,AK39,U39)*3.664*H39)+(IF(AM39&gt;0,AM39/Start!$W$23,W39/Start!$W$23)*IF(AO39&gt;0,AO39,Y39)*IF(AQ39&gt;0,AQ39,AA39))-(IF(AS39&gt;0,AS39,AC39)*Start!$V$62*3.664)</f>
        <v>0</v>
      </c>
      <c r="AE39" s="311"/>
      <c r="AF39" s="3"/>
      <c r="AH39" s="9"/>
      <c r="AI39" s="135"/>
      <c r="AJ39" s="58"/>
      <c r="AK39" s="135"/>
      <c r="AL39" s="58"/>
      <c r="AM39" s="135"/>
      <c r="AN39" s="97"/>
      <c r="AO39" s="135"/>
      <c r="AP39" s="120"/>
      <c r="AQ39" s="135"/>
      <c r="AR39" s="97"/>
      <c r="AS39" s="135"/>
      <c r="AT39" s="9"/>
    </row>
    <row r="40" spans="3:46" x14ac:dyDescent="0.2">
      <c r="C40" s="2"/>
      <c r="D40" s="5"/>
      <c r="E40" s="6"/>
      <c r="F40" s="6"/>
      <c r="G40" s="7"/>
      <c r="H40" s="7"/>
      <c r="I40" s="2"/>
      <c r="J40" s="2"/>
      <c r="K40" s="2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06">
        <f>SUM(AD34:AE39)</f>
        <v>0</v>
      </c>
      <c r="AE40" s="306"/>
      <c r="AF40" s="3"/>
      <c r="AH40" s="9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9"/>
    </row>
    <row r="41" spans="3:46" x14ac:dyDescent="0.2">
      <c r="C41" s="2"/>
      <c r="D41" s="75"/>
      <c r="E41" s="6"/>
      <c r="F41" s="6"/>
      <c r="G41" s="7"/>
      <c r="H41" s="7"/>
      <c r="I41" s="2"/>
      <c r="J41" s="2"/>
      <c r="K41" s="2"/>
      <c r="L41" s="3"/>
      <c r="M41" s="3"/>
      <c r="N41" s="3"/>
      <c r="O41" s="3"/>
      <c r="P41" s="3"/>
      <c r="Q41" s="3"/>
      <c r="R41" s="3"/>
      <c r="S41" s="3"/>
      <c r="T41" s="75"/>
      <c r="U41" s="3"/>
      <c r="V41" s="3"/>
      <c r="W41" s="3"/>
      <c r="X41" s="3"/>
      <c r="Y41" s="3"/>
      <c r="Z41" s="3"/>
      <c r="AA41" s="3"/>
      <c r="AB41" s="3"/>
      <c r="AC41" s="3"/>
      <c r="AD41" s="305"/>
      <c r="AE41" s="305"/>
      <c r="AF41" s="3"/>
      <c r="AH41" s="9"/>
      <c r="AI41" s="3"/>
      <c r="AJ41" s="75"/>
      <c r="AK41" s="3"/>
      <c r="AL41" s="3"/>
      <c r="AM41" s="3"/>
      <c r="AN41" s="3"/>
      <c r="AO41" s="3"/>
      <c r="AP41" s="3"/>
      <c r="AQ41" s="3"/>
      <c r="AR41" s="3"/>
      <c r="AS41" s="3"/>
      <c r="AT41" s="9"/>
    </row>
    <row r="42" spans="3:46" x14ac:dyDescent="0.2">
      <c r="C42" s="2"/>
      <c r="D42" s="75"/>
      <c r="E42" s="6"/>
      <c r="F42" s="6"/>
      <c r="G42" s="7"/>
      <c r="H42" s="7"/>
      <c r="I42" s="2"/>
      <c r="J42" s="2"/>
      <c r="K42" s="2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H42" s="9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9"/>
    </row>
    <row r="47" spans="3:46" ht="30" customHeight="1" x14ac:dyDescent="0.2">
      <c r="C47" s="78" t="s">
        <v>361</v>
      </c>
      <c r="D47" s="4" t="s">
        <v>257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H47" s="86" t="s">
        <v>176</v>
      </c>
      <c r="AI47" s="322" t="s">
        <v>79</v>
      </c>
      <c r="AJ47" s="322"/>
      <c r="AK47" s="322"/>
      <c r="AL47" s="322"/>
      <c r="AM47" s="322"/>
      <c r="AN47" s="322"/>
      <c r="AO47" s="322"/>
      <c r="AP47" s="322"/>
      <c r="AQ47" s="322"/>
      <c r="AR47" s="322"/>
      <c r="AS47" s="322"/>
      <c r="AT47" s="322"/>
    </row>
    <row r="48" spans="3:46" ht="7.25" customHeight="1" x14ac:dyDescent="0.2"/>
    <row r="49" spans="3:46" x14ac:dyDescent="0.2">
      <c r="C49" s="2"/>
      <c r="D49" s="2"/>
      <c r="E49" s="2"/>
      <c r="F49" s="2"/>
      <c r="G49" s="2"/>
      <c r="H49" s="2"/>
      <c r="I49" s="2"/>
      <c r="J49" s="2"/>
      <c r="K49" s="2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H49" s="9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9"/>
    </row>
    <row r="50" spans="3:46" ht="35.5" customHeight="1" x14ac:dyDescent="0.2">
      <c r="C50" s="2"/>
      <c r="D50" s="312" t="s">
        <v>423</v>
      </c>
      <c r="E50" s="312"/>
      <c r="F50" s="312"/>
      <c r="G50" s="2"/>
      <c r="H50" s="312" t="s">
        <v>240</v>
      </c>
      <c r="I50" s="312"/>
      <c r="J50" s="312"/>
      <c r="K50" s="2"/>
      <c r="L50" s="316" t="s">
        <v>424</v>
      </c>
      <c r="M50" s="316"/>
      <c r="N50" s="316"/>
      <c r="O50" s="3"/>
      <c r="P50" s="310" t="s">
        <v>435</v>
      </c>
      <c r="Q50" s="310"/>
      <c r="R50" s="3"/>
      <c r="S50" s="316" t="s">
        <v>449</v>
      </c>
      <c r="T50" s="316"/>
      <c r="U50" s="316"/>
      <c r="V50" s="316"/>
      <c r="W50" s="316"/>
      <c r="X50" s="83"/>
      <c r="Y50" s="316" t="s">
        <v>450</v>
      </c>
      <c r="Z50" s="316"/>
      <c r="AA50" s="316"/>
      <c r="AB50" s="316"/>
      <c r="AC50" s="316"/>
      <c r="AD50" s="310" t="s">
        <v>77</v>
      </c>
      <c r="AE50" s="310"/>
      <c r="AF50" s="3"/>
      <c r="AH50" s="9"/>
      <c r="AI50" s="316" t="s">
        <v>451</v>
      </c>
      <c r="AJ50" s="316"/>
      <c r="AK50" s="316"/>
      <c r="AL50" s="316"/>
      <c r="AM50" s="316"/>
      <c r="AN50" s="83"/>
      <c r="AO50" s="316" t="s">
        <v>442</v>
      </c>
      <c r="AP50" s="316"/>
      <c r="AQ50" s="316"/>
      <c r="AR50" s="316"/>
      <c r="AS50" s="316"/>
      <c r="AT50" s="9"/>
    </row>
    <row r="51" spans="3:46" ht="36" customHeight="1" x14ac:dyDescent="0.2">
      <c r="C51" s="2"/>
      <c r="D51" s="312"/>
      <c r="E51" s="312"/>
      <c r="F51" s="312"/>
      <c r="G51" s="12"/>
      <c r="H51" s="312"/>
      <c r="I51" s="312"/>
      <c r="J51" s="312"/>
      <c r="K51" s="2"/>
      <c r="L51" s="14" t="s">
        <v>425</v>
      </c>
      <c r="M51" s="14"/>
      <c r="N51" s="14" t="s">
        <v>426</v>
      </c>
      <c r="O51" s="3"/>
      <c r="P51" s="310"/>
      <c r="Q51" s="310"/>
      <c r="R51" s="17"/>
      <c r="S51" s="122" t="s">
        <v>439</v>
      </c>
      <c r="T51" s="120"/>
      <c r="U51" s="120" t="s">
        <v>440</v>
      </c>
      <c r="V51" s="120"/>
      <c r="W51" s="120" t="s">
        <v>441</v>
      </c>
      <c r="X51" s="17"/>
      <c r="Y51" s="121" t="s">
        <v>443</v>
      </c>
      <c r="Z51" s="120"/>
      <c r="AA51" s="121" t="s">
        <v>444</v>
      </c>
      <c r="AB51" s="120"/>
      <c r="AC51" s="121" t="s">
        <v>445</v>
      </c>
      <c r="AD51" s="310"/>
      <c r="AE51" s="310"/>
      <c r="AF51" s="3"/>
      <c r="AH51" s="9"/>
      <c r="AI51" s="122" t="s">
        <v>439</v>
      </c>
      <c r="AJ51" s="120"/>
      <c r="AK51" s="120" t="s">
        <v>440</v>
      </c>
      <c r="AL51" s="120"/>
      <c r="AM51" s="120" t="s">
        <v>441</v>
      </c>
      <c r="AN51" s="17"/>
      <c r="AO51" s="121" t="s">
        <v>443</v>
      </c>
      <c r="AP51" s="120"/>
      <c r="AQ51" s="121" t="s">
        <v>444</v>
      </c>
      <c r="AR51" s="120"/>
      <c r="AS51" s="121" t="s">
        <v>445</v>
      </c>
      <c r="AT51" s="9"/>
    </row>
    <row r="52" spans="3:46" ht="17" customHeight="1" x14ac:dyDescent="0.2">
      <c r="C52" s="2"/>
      <c r="D52" s="318" t="s">
        <v>33</v>
      </c>
      <c r="E52" s="318"/>
      <c r="F52" s="318"/>
      <c r="G52" s="7"/>
      <c r="H52" s="309">
        <v>0</v>
      </c>
      <c r="I52" s="309"/>
      <c r="J52" s="309"/>
      <c r="K52" s="2"/>
      <c r="L52" s="133" t="s">
        <v>33</v>
      </c>
      <c r="M52" s="3"/>
      <c r="N52" s="133" t="s">
        <v>33</v>
      </c>
      <c r="O52" s="3"/>
      <c r="P52" s="328" t="s">
        <v>33</v>
      </c>
      <c r="Q52" s="328"/>
      <c r="R52" s="3"/>
      <c r="S52" s="76">
        <f>IF(D52="Please select",0,VLOOKUP(D52,Sheet6!$C$71:$F$81,2,FALSE))</f>
        <v>0</v>
      </c>
      <c r="T52" s="58"/>
      <c r="U52" s="76">
        <f>IF(D52="Please select",0,VLOOKUP(D52,Sheet6!$C$71:$F$81,3,FALSE))</f>
        <v>0</v>
      </c>
      <c r="V52" s="58"/>
      <c r="W52" s="76">
        <f>IF(D52="Please select",0,VLOOKUP(D52,Sheet6!$C$71:$F$81,4,FALSE))</f>
        <v>0</v>
      </c>
      <c r="X52" s="97"/>
      <c r="Y52" s="76">
        <f>IF(L52="Please select",0,VLOOKUP(L52,Sheet6!$C$84:$D$86,2,FALSE))</f>
        <v>0</v>
      </c>
      <c r="Z52" s="120"/>
      <c r="AA52" s="76">
        <f>IF(N52="Please select",0,VLOOKUP(N52,Sheet6!$C$88:$D$91,2,FALSE))</f>
        <v>0</v>
      </c>
      <c r="AB52" s="97"/>
      <c r="AC52" s="76">
        <f>IF(P52="Please select",0,VLOOKUP(P52,Sheet6!$C$93:$D$95,2,FALSE))</f>
        <v>0</v>
      </c>
      <c r="AD52" s="305">
        <f>(IF(AI52&gt;0,AI52,S52)*3.664*H52)+(IF(AK52&gt;0,AK52,U52)*3.664*H52)+(IF(AM52&gt;0,AM52/Start!$W$23,W52/Start!$W$23)*IF(AO52&gt;0,AO52,Y52)*IF(AQ52&gt;0,AQ52,AA52))-(IF(AS52&gt;0,AS52,AC52)*Start!$V$62*3.664)</f>
        <v>0</v>
      </c>
      <c r="AE52" s="305"/>
      <c r="AF52" s="3"/>
      <c r="AH52" s="9"/>
      <c r="AI52" s="135"/>
      <c r="AJ52" s="58"/>
      <c r="AK52" s="135"/>
      <c r="AL52" s="58"/>
      <c r="AM52" s="135"/>
      <c r="AN52" s="97"/>
      <c r="AO52" s="135"/>
      <c r="AP52" s="120"/>
      <c r="AQ52" s="135"/>
      <c r="AR52" s="97"/>
      <c r="AS52" s="135"/>
      <c r="AT52" s="9"/>
    </row>
    <row r="53" spans="3:46" ht="17" customHeight="1" x14ac:dyDescent="0.2">
      <c r="C53" s="2"/>
      <c r="D53" s="318" t="s">
        <v>33</v>
      </c>
      <c r="E53" s="318"/>
      <c r="F53" s="318"/>
      <c r="G53" s="7"/>
      <c r="H53" s="309">
        <v>0</v>
      </c>
      <c r="I53" s="309"/>
      <c r="J53" s="309"/>
      <c r="K53" s="2"/>
      <c r="L53" s="133" t="s">
        <v>33</v>
      </c>
      <c r="M53" s="3"/>
      <c r="N53" s="133" t="s">
        <v>33</v>
      </c>
      <c r="O53" s="3"/>
      <c r="P53" s="328" t="s">
        <v>33</v>
      </c>
      <c r="Q53" s="328"/>
      <c r="R53" s="3"/>
      <c r="S53" s="76">
        <f>IF(D53="Please select",0,VLOOKUP(D53,Sheet6!$C$71:$F$81,2,FALSE))</f>
        <v>0</v>
      </c>
      <c r="T53" s="58"/>
      <c r="U53" s="76">
        <f>IF(D53="Please select",0,VLOOKUP(D53,Sheet6!$C$71:$F$81,3,FALSE))</f>
        <v>0</v>
      </c>
      <c r="V53" s="58"/>
      <c r="W53" s="76">
        <f>IF(D53="Please select",0,VLOOKUP(D53,Sheet6!$C$71:$F$81,4,FALSE))</f>
        <v>0</v>
      </c>
      <c r="X53" s="97"/>
      <c r="Y53" s="76">
        <f>IF(L53="Please select",0,VLOOKUP(L53,Sheet6!$C$84:$D$86,2,FALSE))</f>
        <v>0</v>
      </c>
      <c r="Z53" s="120"/>
      <c r="AA53" s="76">
        <f>IF(N53="Please select",0,VLOOKUP(N53,Sheet6!$C$88:$D$91,2,FALSE))</f>
        <v>0</v>
      </c>
      <c r="AB53" s="97"/>
      <c r="AC53" s="76">
        <f>IF(P53="Please select",0,VLOOKUP(P53,Sheet6!$C$93:$D$95,2,FALSE))</f>
        <v>0</v>
      </c>
      <c r="AD53" s="305">
        <f>(IF(AI53&gt;0,AI53,S53)*3.664*H53)+(IF(AK53&gt;0,AK53,U53)*3.664*H53)+(IF(AM53&gt;0,AM53/Start!$W$23,W53/Start!$W$23)*IF(AO53&gt;0,AO53,Y53)*IF(AQ53&gt;0,AQ53,AA53))-(IF(AS53&gt;0,AS53,AC53)*Start!$V$62*3.664)</f>
        <v>0</v>
      </c>
      <c r="AE53" s="305"/>
      <c r="AF53" s="3"/>
      <c r="AH53" s="9"/>
      <c r="AI53" s="135"/>
      <c r="AJ53" s="58"/>
      <c r="AK53" s="135"/>
      <c r="AL53" s="58"/>
      <c r="AM53" s="135"/>
      <c r="AN53" s="97"/>
      <c r="AO53" s="135"/>
      <c r="AP53" s="120"/>
      <c r="AQ53" s="135"/>
      <c r="AR53" s="97"/>
      <c r="AS53" s="135"/>
      <c r="AT53" s="9"/>
    </row>
    <row r="54" spans="3:46" ht="17" customHeight="1" x14ac:dyDescent="0.2">
      <c r="C54" s="2"/>
      <c r="D54" s="318" t="s">
        <v>33</v>
      </c>
      <c r="E54" s="318"/>
      <c r="F54" s="318"/>
      <c r="G54" s="7"/>
      <c r="H54" s="309">
        <v>0</v>
      </c>
      <c r="I54" s="309"/>
      <c r="J54" s="309"/>
      <c r="K54" s="2"/>
      <c r="L54" s="133" t="s">
        <v>33</v>
      </c>
      <c r="M54" s="3"/>
      <c r="N54" s="133" t="s">
        <v>33</v>
      </c>
      <c r="O54" s="3"/>
      <c r="P54" s="328" t="s">
        <v>33</v>
      </c>
      <c r="Q54" s="328"/>
      <c r="R54" s="3"/>
      <c r="S54" s="76">
        <f>IF(D54="Please select",0,VLOOKUP(D54,Sheet6!$C$71:$F$81,2,FALSE))</f>
        <v>0</v>
      </c>
      <c r="T54" s="58"/>
      <c r="U54" s="76">
        <f>IF(D54="Please select",0,VLOOKUP(D54,Sheet6!$C$71:$F$81,3,FALSE))</f>
        <v>0</v>
      </c>
      <c r="V54" s="58"/>
      <c r="W54" s="76">
        <f>IF(D54="Please select",0,VLOOKUP(D54,Sheet6!$C$71:$F$81,4,FALSE))</f>
        <v>0</v>
      </c>
      <c r="X54" s="97"/>
      <c r="Y54" s="76">
        <f>IF(L54="Please select",0,VLOOKUP(L54,Sheet6!$C$84:$D$86,2,FALSE))</f>
        <v>0</v>
      </c>
      <c r="Z54" s="120"/>
      <c r="AA54" s="76">
        <f>IF(N54="Please select",0,VLOOKUP(N54,Sheet6!$C$88:$D$91,2,FALSE))</f>
        <v>0</v>
      </c>
      <c r="AB54" s="97"/>
      <c r="AC54" s="76">
        <f>IF(P54="Please select",0,VLOOKUP(P54,Sheet6!$C$93:$D$95,2,FALSE))</f>
        <v>0</v>
      </c>
      <c r="AD54" s="305">
        <f>(IF(AI54&gt;0,AI54,S54)*3.664*H54)+(IF(AK54&gt;0,AK54,U54)*3.664*H54)+(IF(AM54&gt;0,AM54/Start!$W$23,W54/Start!$W$23)*IF(AO54&gt;0,AO54,Y54)*IF(AQ54&gt;0,AQ54,AA54))-(IF(AS54&gt;0,AS54,AC54)*Start!$V$62*3.664)</f>
        <v>0</v>
      </c>
      <c r="AE54" s="305"/>
      <c r="AF54" s="3"/>
      <c r="AH54" s="9"/>
      <c r="AI54" s="135"/>
      <c r="AJ54" s="58"/>
      <c r="AK54" s="135"/>
      <c r="AL54" s="58"/>
      <c r="AM54" s="135"/>
      <c r="AN54" s="97"/>
      <c r="AO54" s="135"/>
      <c r="AP54" s="120"/>
      <c r="AQ54" s="135"/>
      <c r="AR54" s="97"/>
      <c r="AS54" s="135"/>
      <c r="AT54" s="9"/>
    </row>
    <row r="55" spans="3:46" ht="17" customHeight="1" x14ac:dyDescent="0.2">
      <c r="C55" s="2"/>
      <c r="D55" s="318" t="s">
        <v>33</v>
      </c>
      <c r="E55" s="318"/>
      <c r="F55" s="318"/>
      <c r="G55" s="7"/>
      <c r="H55" s="309">
        <v>0</v>
      </c>
      <c r="I55" s="309"/>
      <c r="J55" s="309"/>
      <c r="K55" s="2"/>
      <c r="L55" s="133" t="s">
        <v>33</v>
      </c>
      <c r="M55" s="3"/>
      <c r="N55" s="133" t="s">
        <v>33</v>
      </c>
      <c r="O55" s="3"/>
      <c r="P55" s="328" t="s">
        <v>33</v>
      </c>
      <c r="Q55" s="328"/>
      <c r="R55" s="3"/>
      <c r="S55" s="76">
        <f>IF(D55="Please select",0,VLOOKUP(D55,Sheet6!$C$71:$F$81,2,FALSE))</f>
        <v>0</v>
      </c>
      <c r="T55" s="58"/>
      <c r="U55" s="76">
        <f>IF(D55="Please select",0,VLOOKUP(D55,Sheet6!$C$71:$F$81,3,FALSE))</f>
        <v>0</v>
      </c>
      <c r="V55" s="58"/>
      <c r="W55" s="76">
        <f>IF(D55="Please select",0,VLOOKUP(D55,Sheet6!$C$71:$F$81,4,FALSE))</f>
        <v>0</v>
      </c>
      <c r="X55" s="97"/>
      <c r="Y55" s="76">
        <f>IF(L55="Please select",0,VLOOKUP(L55,Sheet6!$C$84:$D$86,2,FALSE))</f>
        <v>0</v>
      </c>
      <c r="Z55" s="120"/>
      <c r="AA55" s="76">
        <f>IF(N55="Please select",0,VLOOKUP(N55,Sheet6!$C$88:$D$91,2,FALSE))</f>
        <v>0</v>
      </c>
      <c r="AB55" s="97"/>
      <c r="AC55" s="76">
        <f>IF(P55="Please select",0,VLOOKUP(P55,Sheet6!$C$93:$D$95,2,FALSE))</f>
        <v>0</v>
      </c>
      <c r="AD55" s="305">
        <f>(IF(AI55&gt;0,AI55,S55)*3.664*H55)+(IF(AK55&gt;0,AK55,U55)*3.664*H55)+(IF(AM55&gt;0,AM55/Start!$W$23,W55/Start!$W$23)*IF(AO55&gt;0,AO55,Y55)*IF(AQ55&gt;0,AQ55,AA55))-(IF(AS55&gt;0,AS55,AC55)*Start!$V$62*3.664)</f>
        <v>0</v>
      </c>
      <c r="AE55" s="305"/>
      <c r="AF55" s="3"/>
      <c r="AH55" s="9"/>
      <c r="AI55" s="135"/>
      <c r="AJ55" s="58"/>
      <c r="AK55" s="135"/>
      <c r="AL55" s="58"/>
      <c r="AM55" s="135"/>
      <c r="AN55" s="97"/>
      <c r="AO55" s="135"/>
      <c r="AP55" s="120"/>
      <c r="AQ55" s="135"/>
      <c r="AR55" s="97"/>
      <c r="AS55" s="135"/>
      <c r="AT55" s="9"/>
    </row>
    <row r="56" spans="3:46" ht="17" customHeight="1" x14ac:dyDescent="0.2">
      <c r="C56" s="2"/>
      <c r="D56" s="318" t="s">
        <v>33</v>
      </c>
      <c r="E56" s="318"/>
      <c r="F56" s="318"/>
      <c r="G56" s="7"/>
      <c r="H56" s="309">
        <v>0</v>
      </c>
      <c r="I56" s="309"/>
      <c r="J56" s="309"/>
      <c r="K56" s="2"/>
      <c r="L56" s="133" t="s">
        <v>33</v>
      </c>
      <c r="M56" s="3"/>
      <c r="N56" s="133" t="s">
        <v>33</v>
      </c>
      <c r="O56" s="3"/>
      <c r="P56" s="328" t="s">
        <v>33</v>
      </c>
      <c r="Q56" s="328"/>
      <c r="R56" s="3"/>
      <c r="S56" s="76">
        <f>IF(D56="Please select",0,VLOOKUP(D56,Sheet6!$C$71:$F$81,2,FALSE))</f>
        <v>0</v>
      </c>
      <c r="T56" s="58"/>
      <c r="U56" s="76">
        <f>IF(D56="Please select",0,VLOOKUP(D56,Sheet6!$C$71:$F$81,3,FALSE))</f>
        <v>0</v>
      </c>
      <c r="V56" s="58"/>
      <c r="W56" s="76">
        <f>IF(D56="Please select",0,VLOOKUP(D56,Sheet6!$C$71:$F$81,4,FALSE))</f>
        <v>0</v>
      </c>
      <c r="X56" s="97"/>
      <c r="Y56" s="76">
        <f>IF(L56="Please select",0,VLOOKUP(L56,Sheet6!$C$84:$D$86,2,FALSE))</f>
        <v>0</v>
      </c>
      <c r="Z56" s="120"/>
      <c r="AA56" s="76">
        <f>IF(N56="Please select",0,VLOOKUP(N56,Sheet6!$C$88:$D$91,2,FALSE))</f>
        <v>0</v>
      </c>
      <c r="AB56" s="97"/>
      <c r="AC56" s="76">
        <f>IF(P56="Please select",0,VLOOKUP(P56,Sheet6!$C$93:$D$95,2,FALSE))</f>
        <v>0</v>
      </c>
      <c r="AD56" s="305">
        <f>(IF(AI56&gt;0,AI56,S56)*3.664*H56)+(IF(AK56&gt;0,AK56,U56)*3.664*H56)+(IF(AM56&gt;0,AM56/Start!$W$23,W56/Start!$W$23)*IF(AO56&gt;0,AO56,Y56)*IF(AQ56&gt;0,AQ56,AA56))-(IF(AS56&gt;0,AS56,AC56)*Start!$V$62*3.664)</f>
        <v>0</v>
      </c>
      <c r="AE56" s="305"/>
      <c r="AF56" s="3"/>
      <c r="AH56" s="9"/>
      <c r="AI56" s="135"/>
      <c r="AJ56" s="58"/>
      <c r="AK56" s="135"/>
      <c r="AL56" s="58"/>
      <c r="AM56" s="135"/>
      <c r="AN56" s="97"/>
      <c r="AO56" s="135"/>
      <c r="AP56" s="120"/>
      <c r="AQ56" s="135"/>
      <c r="AR56" s="97"/>
      <c r="AS56" s="135"/>
      <c r="AT56" s="9"/>
    </row>
    <row r="57" spans="3:46" ht="17" customHeight="1" x14ac:dyDescent="0.2">
      <c r="C57" s="2"/>
      <c r="D57" s="318" t="s">
        <v>33</v>
      </c>
      <c r="E57" s="318"/>
      <c r="F57" s="318"/>
      <c r="G57" s="7"/>
      <c r="H57" s="309">
        <v>0</v>
      </c>
      <c r="I57" s="309"/>
      <c r="J57" s="309"/>
      <c r="K57" s="2"/>
      <c r="L57" s="133" t="s">
        <v>33</v>
      </c>
      <c r="M57" s="3"/>
      <c r="N57" s="133" t="s">
        <v>33</v>
      </c>
      <c r="O57" s="3"/>
      <c r="P57" s="328" t="s">
        <v>33</v>
      </c>
      <c r="Q57" s="328"/>
      <c r="R57" s="3"/>
      <c r="S57" s="76">
        <f>IF(D57="Please select",0,VLOOKUP(D57,Sheet6!$C$71:$F$81,2,FALSE))</f>
        <v>0</v>
      </c>
      <c r="T57" s="58"/>
      <c r="U57" s="76">
        <f>IF(D57="Please select",0,VLOOKUP(D57,Sheet6!$C$71:$F$81,3,FALSE))</f>
        <v>0</v>
      </c>
      <c r="V57" s="58"/>
      <c r="W57" s="76">
        <f>IF(D57="Please select",0,VLOOKUP(D57,Sheet6!$C$71:$F$81,4,FALSE))</f>
        <v>0</v>
      </c>
      <c r="X57" s="97"/>
      <c r="Y57" s="76">
        <f>IF(L57="Please select",0,VLOOKUP(L57,Sheet6!$C$84:$D$86,2,FALSE))</f>
        <v>0</v>
      </c>
      <c r="Z57" s="120"/>
      <c r="AA57" s="76">
        <f>IF(N57="Please select",0,VLOOKUP(N57,Sheet6!$C$88:$D$91,2,FALSE))</f>
        <v>0</v>
      </c>
      <c r="AB57" s="97"/>
      <c r="AC57" s="76">
        <f>IF(P57="Please select",0,VLOOKUP(P57,Sheet6!$C$93:$D$95,2,FALSE))</f>
        <v>0</v>
      </c>
      <c r="AD57" s="311">
        <f>(IF(AI57&gt;0,AI57,S57)*3.664*H57)+(IF(AK57&gt;0,AK57,U57)*3.664*H57)+(IF(AM57&gt;0,AM57/Start!$W$23,W57/Start!$W$23)*IF(AO57&gt;0,AO57,Y57)*IF(AQ57&gt;0,AQ57,AA57))-(IF(AS57&gt;0,AS57,AC57)*Start!$V$62*3.664)</f>
        <v>0</v>
      </c>
      <c r="AE57" s="311"/>
      <c r="AF57" s="3"/>
      <c r="AH57" s="9"/>
      <c r="AI57" s="135"/>
      <c r="AJ57" s="58"/>
      <c r="AK57" s="135"/>
      <c r="AL57" s="58"/>
      <c r="AM57" s="135"/>
      <c r="AN57" s="97"/>
      <c r="AO57" s="135"/>
      <c r="AP57" s="120"/>
      <c r="AQ57" s="135"/>
      <c r="AR57" s="97"/>
      <c r="AS57" s="135"/>
      <c r="AT57" s="9"/>
    </row>
    <row r="58" spans="3:46" x14ac:dyDescent="0.2">
      <c r="C58" s="2"/>
      <c r="D58" s="5"/>
      <c r="E58" s="6"/>
      <c r="F58" s="6"/>
      <c r="G58" s="7"/>
      <c r="H58" s="7"/>
      <c r="I58" s="2"/>
      <c r="J58" s="2"/>
      <c r="K58" s="2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06">
        <f>SUM(AD52:AE57)</f>
        <v>0</v>
      </c>
      <c r="AE58" s="306"/>
      <c r="AF58" s="3"/>
      <c r="AH58" s="9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9"/>
    </row>
    <row r="59" spans="3:46" x14ac:dyDescent="0.2">
      <c r="C59" s="2"/>
      <c r="D59" s="75"/>
      <c r="E59" s="6"/>
      <c r="F59" s="6"/>
      <c r="G59" s="7"/>
      <c r="H59" s="7"/>
      <c r="I59" s="2"/>
      <c r="J59" s="2"/>
      <c r="K59" s="2"/>
      <c r="L59" s="3"/>
      <c r="M59" s="3"/>
      <c r="N59" s="3"/>
      <c r="O59" s="3"/>
      <c r="P59" s="3"/>
      <c r="Q59" s="3"/>
      <c r="R59" s="3"/>
      <c r="S59" s="3"/>
      <c r="T59" s="75"/>
      <c r="U59" s="3"/>
      <c r="V59" s="3"/>
      <c r="W59" s="3"/>
      <c r="X59" s="3"/>
      <c r="Y59" s="3"/>
      <c r="Z59" s="3"/>
      <c r="AA59" s="3"/>
      <c r="AB59" s="3"/>
      <c r="AC59" s="3"/>
      <c r="AD59" s="305"/>
      <c r="AE59" s="305"/>
      <c r="AF59" s="3"/>
      <c r="AH59" s="9"/>
      <c r="AI59" s="3"/>
      <c r="AJ59" s="75"/>
      <c r="AK59" s="3"/>
      <c r="AL59" s="3"/>
      <c r="AM59" s="3"/>
      <c r="AN59" s="3"/>
      <c r="AO59" s="3"/>
      <c r="AP59" s="3"/>
      <c r="AQ59" s="3"/>
      <c r="AR59" s="3"/>
      <c r="AS59" s="3"/>
      <c r="AT59" s="9"/>
    </row>
    <row r="60" spans="3:46" x14ac:dyDescent="0.2">
      <c r="C60" s="2"/>
      <c r="D60" s="75"/>
      <c r="E60" s="6"/>
      <c r="F60" s="6"/>
      <c r="G60" s="7"/>
      <c r="H60" s="7"/>
      <c r="I60" s="2"/>
      <c r="J60" s="2"/>
      <c r="K60" s="2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H60" s="9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9"/>
    </row>
  </sheetData>
  <sheetProtection algorithmName="SHA-512" hashValue="x1TLw6x1zIHJzFkuaBnazHRjydwsHsPAnc+GW49xMmZZ/L3q5vwaW2du5JCpTWmcbRW5YBUK9gXL1My1Um0cvA==" saltValue="69sV6/iJSGA4TZxcgTywIg==" spinCount="100000" sheet="1" objects="1" scenarios="1" selectLockedCells="1"/>
  <protectedRanges>
    <protectedRange sqref="D16:F21 H16:J21 L16:L21 N16:N21 P16:Q21 AI16:AI21 AK16:AK21 AM16:AM21 AO16:AO21 AQ16:AQ21 AS16:AS21 D34:F39 H34:J39 L34:L39 N34:N39 P34:Q39 AI34:AI39 AK34:AK39 AM34:AM39" name="Range1_Agriculture"/>
  </protectedRanges>
  <mergeCells count="105">
    <mergeCell ref="H35:J35"/>
    <mergeCell ref="AI47:AT47"/>
    <mergeCell ref="AO50:AS50"/>
    <mergeCell ref="P39:Q39"/>
    <mergeCell ref="AD58:AE59"/>
    <mergeCell ref="AI29:AT29"/>
    <mergeCell ref="P52:Q52"/>
    <mergeCell ref="AD52:AE52"/>
    <mergeCell ref="P53:Q53"/>
    <mergeCell ref="AD53:AE53"/>
    <mergeCell ref="P54:Q54"/>
    <mergeCell ref="AD54:AE54"/>
    <mergeCell ref="P55:Q55"/>
    <mergeCell ref="AD55:AE55"/>
    <mergeCell ref="P56:Q56"/>
    <mergeCell ref="AD56:AE56"/>
    <mergeCell ref="AD39:AE39"/>
    <mergeCell ref="AD40:AE41"/>
    <mergeCell ref="AI32:AM32"/>
    <mergeCell ref="AO32:AS32"/>
    <mergeCell ref="L50:N50"/>
    <mergeCell ref="P50:Q51"/>
    <mergeCell ref="S50:W50"/>
    <mergeCell ref="Y50:AC50"/>
    <mergeCell ref="AD50:AE51"/>
    <mergeCell ref="AI50:AM50"/>
    <mergeCell ref="AD34:AE34"/>
    <mergeCell ref="P35:Q35"/>
    <mergeCell ref="AD35:AE35"/>
    <mergeCell ref="P36:Q36"/>
    <mergeCell ref="AD36:AE36"/>
    <mergeCell ref="P37:Q37"/>
    <mergeCell ref="AD37:AE37"/>
    <mergeCell ref="P38:Q38"/>
    <mergeCell ref="AD38:AE38"/>
    <mergeCell ref="D16:F16"/>
    <mergeCell ref="H16:J16"/>
    <mergeCell ref="AI11:AT11"/>
    <mergeCell ref="D14:F15"/>
    <mergeCell ref="H14:J15"/>
    <mergeCell ref="L14:N14"/>
    <mergeCell ref="AD14:AE15"/>
    <mergeCell ref="S14:W14"/>
    <mergeCell ref="Y14:AC14"/>
    <mergeCell ref="AD16:AE16"/>
    <mergeCell ref="AI14:AM14"/>
    <mergeCell ref="AO14:AS14"/>
    <mergeCell ref="D34:F34"/>
    <mergeCell ref="H34:J34"/>
    <mergeCell ref="D32:F33"/>
    <mergeCell ref="L32:N32"/>
    <mergeCell ref="P34:Q34"/>
    <mergeCell ref="D17:F17"/>
    <mergeCell ref="H17:J17"/>
    <mergeCell ref="AD17:AE17"/>
    <mergeCell ref="AD18:AE18"/>
    <mergeCell ref="D19:F19"/>
    <mergeCell ref="H19:J19"/>
    <mergeCell ref="AD19:AE19"/>
    <mergeCell ref="D18:F18"/>
    <mergeCell ref="H18:J18"/>
    <mergeCell ref="AD22:AE23"/>
    <mergeCell ref="H32:J33"/>
    <mergeCell ref="P32:Q33"/>
    <mergeCell ref="S32:W32"/>
    <mergeCell ref="Y32:AC32"/>
    <mergeCell ref="AD32:AE33"/>
    <mergeCell ref="AD20:AE20"/>
    <mergeCell ref="D54:F54"/>
    <mergeCell ref="H54:J54"/>
    <mergeCell ref="D53:F53"/>
    <mergeCell ref="H53:J53"/>
    <mergeCell ref="D52:F52"/>
    <mergeCell ref="H52:J52"/>
    <mergeCell ref="D37:F37"/>
    <mergeCell ref="H37:J37"/>
    <mergeCell ref="D39:F39"/>
    <mergeCell ref="H39:J39"/>
    <mergeCell ref="D38:F38"/>
    <mergeCell ref="H38:J38"/>
    <mergeCell ref="H50:J51"/>
    <mergeCell ref="D56:F56"/>
    <mergeCell ref="H56:J56"/>
    <mergeCell ref="D55:F55"/>
    <mergeCell ref="H55:J55"/>
    <mergeCell ref="D57:F57"/>
    <mergeCell ref="H57:J57"/>
    <mergeCell ref="P57:Q57"/>
    <mergeCell ref="AD57:AE57"/>
    <mergeCell ref="P14:Q15"/>
    <mergeCell ref="P16:Q16"/>
    <mergeCell ref="P17:Q17"/>
    <mergeCell ref="P18:Q18"/>
    <mergeCell ref="P19:Q19"/>
    <mergeCell ref="P20:Q20"/>
    <mergeCell ref="P21:Q21"/>
    <mergeCell ref="D50:F51"/>
    <mergeCell ref="D36:F36"/>
    <mergeCell ref="H36:J36"/>
    <mergeCell ref="D21:F21"/>
    <mergeCell ref="H21:J21"/>
    <mergeCell ref="AD21:AE21"/>
    <mergeCell ref="D20:F20"/>
    <mergeCell ref="H20:J20"/>
    <mergeCell ref="D35:F35"/>
  </mergeCells>
  <conditionalFormatting sqref="D14 D22:F24">
    <cfRule type="expression" dxfId="72" priority="113">
      <formula>#REF!="Other"</formula>
    </cfRule>
  </conditionalFormatting>
  <conditionalFormatting sqref="D14 D22:G24 H14 G16:G21 H16:H24">
    <cfRule type="expression" dxfId="71" priority="114">
      <formula>IF(OR(#REF! = "Design", "Implementation", "Completed"), "", "if other, please specify")</formula>
    </cfRule>
  </conditionalFormatting>
  <conditionalFormatting sqref="D32 D40:F42">
    <cfRule type="expression" dxfId="70" priority="31">
      <formula>#REF!="Other"</formula>
    </cfRule>
  </conditionalFormatting>
  <conditionalFormatting sqref="D32 D40:G42 H32 G34:G39 H34:H42">
    <cfRule type="expression" dxfId="69" priority="32">
      <formula>IF(OR(#REF! = "Design", "Implementation", "Completed"), "", "if other, please specify")</formula>
    </cfRule>
  </conditionalFormatting>
  <conditionalFormatting sqref="D50 D58:F60">
    <cfRule type="expression" dxfId="68" priority="15">
      <formula>#REF!="Other"</formula>
    </cfRule>
  </conditionalFormatting>
  <conditionalFormatting sqref="D50 D58:G60 H50 G52:G57 H52:H60">
    <cfRule type="expression" dxfId="67" priority="16">
      <formula>IF(OR(#REF! = "Design", "Implementation", "Completed"), "", "if other, please specify")</formula>
    </cfRule>
  </conditionalFormatting>
  <conditionalFormatting sqref="H14">
    <cfRule type="expression" dxfId="66" priority="110">
      <formula>#REF!="Other"</formula>
    </cfRule>
    <cfRule type="expression" dxfId="65" priority="112">
      <formula>#REF!="Other"</formula>
    </cfRule>
  </conditionalFormatting>
  <conditionalFormatting sqref="H32 G34:G39">
    <cfRule type="expression" dxfId="64" priority="30">
      <formula>#REF!="Other"</formula>
    </cfRule>
  </conditionalFormatting>
  <conditionalFormatting sqref="H32">
    <cfRule type="expression" dxfId="63" priority="29">
      <formula>#REF!="Other"</formula>
    </cfRule>
  </conditionalFormatting>
  <conditionalFormatting sqref="H34:H39 G40:H42 H52:H57 G58:H60 G16:H24">
    <cfRule type="expression" dxfId="62" priority="97">
      <formula>#REF!="Other"</formula>
    </cfRule>
  </conditionalFormatting>
  <conditionalFormatting sqref="H50 G52:G57">
    <cfRule type="expression" dxfId="61" priority="14">
      <formula>#REF!="Other"</formula>
    </cfRule>
  </conditionalFormatting>
  <conditionalFormatting sqref="H50">
    <cfRule type="expression" dxfId="60" priority="13">
      <formula>#REF!="Other"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6" id="{1000DBF1-F81F-4FB5-BFC6-7228749665B3}">
            <xm:f>#REF!=Sheet4!$G$8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S16:S21</xm:sqref>
        </x14:conditionalFormatting>
        <x14:conditionalFormatting xmlns:xm="http://schemas.microsoft.com/office/excel/2006/main">
          <x14:cfRule type="expression" priority="28" id="{3A5F2DCA-8409-4429-8433-C0F64B6DA69E}">
            <xm:f>#REF!=Sheet4!$G$8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S34:S39</xm:sqref>
        </x14:conditionalFormatting>
        <x14:conditionalFormatting xmlns:xm="http://schemas.microsoft.com/office/excel/2006/main">
          <x14:cfRule type="expression" priority="12" id="{7FA94F18-4E7A-421E-AB25-2D03A9D2B495}">
            <xm:f>#REF!=Sheet4!$G$8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S52:S57</xm:sqref>
        </x14:conditionalFormatting>
        <x14:conditionalFormatting xmlns:xm="http://schemas.microsoft.com/office/excel/2006/main">
          <x14:cfRule type="expression" priority="75" id="{03FDEEE9-3EB1-4909-B4E9-B0639FB41DFF}">
            <xm:f>H16:H21=Sheet4!$G$8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U16:U21</xm:sqref>
        </x14:conditionalFormatting>
        <x14:conditionalFormatting xmlns:xm="http://schemas.microsoft.com/office/excel/2006/main">
          <x14:cfRule type="expression" priority="27" id="{35E056F6-BECE-4A12-8D71-C2134EFE8194}">
            <xm:f>H34:H39=Sheet4!$G$8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U34:U39</xm:sqref>
        </x14:conditionalFormatting>
        <x14:conditionalFormatting xmlns:xm="http://schemas.microsoft.com/office/excel/2006/main">
          <x14:cfRule type="expression" priority="11" id="{62833470-7CF9-4075-92FC-98DF280AEAAA}">
            <xm:f>H52:H57=Sheet4!$G$8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U52:U57</xm:sqref>
        </x14:conditionalFormatting>
        <x14:conditionalFormatting xmlns:xm="http://schemas.microsoft.com/office/excel/2006/main">
          <x14:cfRule type="expression" priority="74" id="{EB6DFA9D-3107-41AE-9831-75EFEB618F0F}">
            <xm:f>J16:J21=Sheet4!$G$8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W16:W21</xm:sqref>
        </x14:conditionalFormatting>
        <x14:conditionalFormatting xmlns:xm="http://schemas.microsoft.com/office/excel/2006/main">
          <x14:cfRule type="expression" priority="26" id="{4FFC4131-F3F6-4C5E-927E-12100EB1E781}">
            <xm:f>J34:J39=Sheet4!$G$8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W34:W39</xm:sqref>
        </x14:conditionalFormatting>
        <x14:conditionalFormatting xmlns:xm="http://schemas.microsoft.com/office/excel/2006/main">
          <x14:cfRule type="expression" priority="10" id="{1604495D-A92B-472A-A9C1-D0E3F87A813E}">
            <xm:f>J52:J57=Sheet4!$G$8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W52:W57</xm:sqref>
        </x14:conditionalFormatting>
        <x14:conditionalFormatting xmlns:xm="http://schemas.microsoft.com/office/excel/2006/main">
          <x14:cfRule type="expression" priority="73" id="{D8099AA1-79BE-45FE-9E25-1B0C57119B52}">
            <xm:f>L16:L21=Sheet4!$G$8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Y16:Y21</xm:sqref>
        </x14:conditionalFormatting>
        <x14:conditionalFormatting xmlns:xm="http://schemas.microsoft.com/office/excel/2006/main">
          <x14:cfRule type="expression" priority="25" id="{5F6E5AD1-DB30-4C86-A690-168121B868D7}">
            <xm:f>L34:L39=Sheet4!$G$8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Y34:Y39</xm:sqref>
        </x14:conditionalFormatting>
        <x14:conditionalFormatting xmlns:xm="http://schemas.microsoft.com/office/excel/2006/main">
          <x14:cfRule type="expression" priority="9" id="{332F6E9F-DAD8-4D7C-8031-569391A336EC}">
            <xm:f>L52:L57=Sheet4!$G$8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Y52:Y57</xm:sqref>
        </x14:conditionalFormatting>
        <x14:conditionalFormatting xmlns:xm="http://schemas.microsoft.com/office/excel/2006/main">
          <x14:cfRule type="expression" priority="72" id="{868EB4AC-B80F-4A0E-928D-321C21FEB738}">
            <xm:f>N16:N21=Sheet4!$G$8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AA16:AA21</xm:sqref>
        </x14:conditionalFormatting>
        <x14:conditionalFormatting xmlns:xm="http://schemas.microsoft.com/office/excel/2006/main">
          <x14:cfRule type="expression" priority="24" id="{CB61C17A-6B79-499B-AB53-B1D33677760E}">
            <xm:f>N34:N39=Sheet4!$G$8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AA34:AA39</xm:sqref>
        </x14:conditionalFormatting>
        <x14:conditionalFormatting xmlns:xm="http://schemas.microsoft.com/office/excel/2006/main">
          <x14:cfRule type="expression" priority="8" id="{9DA522B1-1866-4AF1-A6B3-84F04854ACB9}">
            <xm:f>N52:N57=Sheet4!$G$8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AA52:AA57</xm:sqref>
        </x14:conditionalFormatting>
        <x14:conditionalFormatting xmlns:xm="http://schemas.microsoft.com/office/excel/2006/main">
          <x14:cfRule type="expression" priority="71" id="{4AD4D0AB-5723-44BE-B503-3D4AE7FAE8C8}">
            <xm:f>P16:P21=Sheet4!$G$8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AC16:AC21</xm:sqref>
        </x14:conditionalFormatting>
        <x14:conditionalFormatting xmlns:xm="http://schemas.microsoft.com/office/excel/2006/main">
          <x14:cfRule type="expression" priority="23" id="{1FB7F6DE-607B-460F-A616-88648271AAC3}">
            <xm:f>P34:P39=Sheet4!$G$8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AC34:AC39</xm:sqref>
        </x14:conditionalFormatting>
        <x14:conditionalFormatting xmlns:xm="http://schemas.microsoft.com/office/excel/2006/main">
          <x14:cfRule type="expression" priority="7" id="{B4E324E3-F4D1-4B75-A2E2-F7DE036D7A3A}">
            <xm:f>P52:P57=Sheet4!$G$8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AC52:AC57</xm:sqref>
        </x14:conditionalFormatting>
        <x14:conditionalFormatting xmlns:xm="http://schemas.microsoft.com/office/excel/2006/main">
          <x14:cfRule type="expression" priority="70" id="{73C879E1-BC20-4519-BD80-89D1764BE451}">
            <xm:f>#REF!=Sheet4!$G$8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AI16:AI21</xm:sqref>
        </x14:conditionalFormatting>
        <x14:conditionalFormatting xmlns:xm="http://schemas.microsoft.com/office/excel/2006/main">
          <x14:cfRule type="expression" priority="22" id="{BB6A5B97-41B9-4427-8946-99511F8FA4FE}">
            <xm:f>#REF!=Sheet4!$G$8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AI34:AI39</xm:sqref>
        </x14:conditionalFormatting>
        <x14:conditionalFormatting xmlns:xm="http://schemas.microsoft.com/office/excel/2006/main">
          <x14:cfRule type="expression" priority="6" id="{01A90A3E-70ED-4784-8A10-C84CF317D2CB}">
            <xm:f>#REF!=Sheet4!$G$8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AI52:AI57</xm:sqref>
        </x14:conditionalFormatting>
        <x14:conditionalFormatting xmlns:xm="http://schemas.microsoft.com/office/excel/2006/main">
          <x14:cfRule type="expression" priority="69" id="{2E0D94A7-A675-4032-B2D4-0F7F5B02BAA4}">
            <xm:f>X16:X21=Sheet4!$G$8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AK16:AK21</xm:sqref>
        </x14:conditionalFormatting>
        <x14:conditionalFormatting xmlns:xm="http://schemas.microsoft.com/office/excel/2006/main">
          <x14:cfRule type="expression" priority="21" id="{BFD90821-2D79-4DC7-A1F6-2B5348466452}">
            <xm:f>X34:X39=Sheet4!$G$8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AK34:AK39</xm:sqref>
        </x14:conditionalFormatting>
        <x14:conditionalFormatting xmlns:xm="http://schemas.microsoft.com/office/excel/2006/main">
          <x14:cfRule type="expression" priority="5" id="{BD78351E-020B-4994-8A55-911A12C07FCD}">
            <xm:f>X52:X57=Sheet4!$G$8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AK52:AK57</xm:sqref>
        </x14:conditionalFormatting>
        <x14:conditionalFormatting xmlns:xm="http://schemas.microsoft.com/office/excel/2006/main">
          <x14:cfRule type="expression" priority="68" id="{0CEF8309-A1CE-4197-9E0E-B5D5E6C4E9F7}">
            <xm:f>Z16:Z21=Sheet4!$G$8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AM16:AM21</xm:sqref>
        </x14:conditionalFormatting>
        <x14:conditionalFormatting xmlns:xm="http://schemas.microsoft.com/office/excel/2006/main">
          <x14:cfRule type="expression" priority="20" id="{40B744EA-F773-4FE3-8332-A77AFBD3287F}">
            <xm:f>Z34:Z39=Sheet4!$G$8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AM34:AM39</xm:sqref>
        </x14:conditionalFormatting>
        <x14:conditionalFormatting xmlns:xm="http://schemas.microsoft.com/office/excel/2006/main">
          <x14:cfRule type="expression" priority="4" id="{B8C52D16-98A2-4127-B412-F450E58191DF}">
            <xm:f>Z52:Z57=Sheet4!$G$8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AM52:AM57</xm:sqref>
        </x14:conditionalFormatting>
        <x14:conditionalFormatting xmlns:xm="http://schemas.microsoft.com/office/excel/2006/main">
          <x14:cfRule type="expression" priority="67" id="{0BA946A8-C4C3-4AF6-8DCC-BD7570EE6924}">
            <xm:f>AB16:AB21=Sheet4!$G$8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AO16:AO21</xm:sqref>
        </x14:conditionalFormatting>
        <x14:conditionalFormatting xmlns:xm="http://schemas.microsoft.com/office/excel/2006/main">
          <x14:cfRule type="expression" priority="19" id="{068B525A-606C-4387-9E6D-2AB443EC7CA4}">
            <xm:f>AB34:AB39=Sheet4!$G$8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AO34:AO39</xm:sqref>
        </x14:conditionalFormatting>
        <x14:conditionalFormatting xmlns:xm="http://schemas.microsoft.com/office/excel/2006/main">
          <x14:cfRule type="expression" priority="3" id="{73A4A2CF-BC3E-4335-941B-1835B062EBDD}">
            <xm:f>AB52:AB57=Sheet4!$G$8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AO52:AO57</xm:sqref>
        </x14:conditionalFormatting>
        <x14:conditionalFormatting xmlns:xm="http://schemas.microsoft.com/office/excel/2006/main">
          <x14:cfRule type="expression" priority="66" id="{607AF73B-8096-490E-8A97-DF773F2C215B}">
            <xm:f>AD16:AD21=Sheet4!$G$8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AQ16:AQ21</xm:sqref>
        </x14:conditionalFormatting>
        <x14:conditionalFormatting xmlns:xm="http://schemas.microsoft.com/office/excel/2006/main">
          <x14:cfRule type="expression" priority="18" id="{267889AC-0EFC-4E20-BF48-B0A5B4192FC4}">
            <xm:f>AD34:AD39=Sheet4!$G$8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AQ34:AQ39</xm:sqref>
        </x14:conditionalFormatting>
        <x14:conditionalFormatting xmlns:xm="http://schemas.microsoft.com/office/excel/2006/main">
          <x14:cfRule type="expression" priority="2" id="{9D19A5EC-395B-4250-BC8E-311A8C327CBA}">
            <xm:f>AD52:AD57=Sheet4!$G$8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AQ52:AQ57</xm:sqref>
        </x14:conditionalFormatting>
        <x14:conditionalFormatting xmlns:xm="http://schemas.microsoft.com/office/excel/2006/main">
          <x14:cfRule type="expression" priority="65" id="{9992D8AF-8E4E-4565-87F5-001121EAF25D}">
            <xm:f>AF16:AF21=Sheet4!$G$8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AS16:AS21</xm:sqref>
        </x14:conditionalFormatting>
        <x14:conditionalFormatting xmlns:xm="http://schemas.microsoft.com/office/excel/2006/main">
          <x14:cfRule type="expression" priority="17" id="{24274AB5-144A-4DEA-BEF1-C26CA9D8796C}">
            <xm:f>AF34:AF39=Sheet4!$G$8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AS34:AS39</xm:sqref>
        </x14:conditionalFormatting>
        <x14:conditionalFormatting xmlns:xm="http://schemas.microsoft.com/office/excel/2006/main">
          <x14:cfRule type="expression" priority="1" id="{DC23DB18-C896-48F0-8DB7-ADCAF0048DDC}">
            <xm:f>AF52:AF57=Sheet4!$G$8</xm:f>
            <x14:dxf>
              <font>
                <color theme="0"/>
              </font>
              <fill>
                <patternFill patternType="lightDown"/>
              </fill>
            </x14:dxf>
          </x14:cfRule>
          <xm:sqref>AS52:AS57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6813EE-45F7-418D-8ED1-3329C48F0FB1}">
          <x14:formula1>
            <xm:f>Sheet4!$T$6:$T$17</xm:f>
          </x14:formula1>
          <xm:sqref>D16:F21 D34:F39 D52:F57</xm:sqref>
        </x14:dataValidation>
        <x14:dataValidation type="list" allowBlank="1" showInputMessage="1" showErrorMessage="1" xr:uid="{4D394C26-7802-4024-B3AE-594AF40B681F}">
          <x14:formula1>
            <xm:f>Sheet4!$U$6:$U$9</xm:f>
          </x14:formula1>
          <xm:sqref>L16:L21 L34:L39 L52:L57</xm:sqref>
        </x14:dataValidation>
        <x14:dataValidation type="list" allowBlank="1" showInputMessage="1" showErrorMessage="1" xr:uid="{656D649C-5484-46DC-852D-CE8D3B7AFE5E}">
          <x14:formula1>
            <xm:f>Sheet4!$V$6:$V$10</xm:f>
          </x14:formula1>
          <xm:sqref>N16:N21 N34:N39 N52:N57</xm:sqref>
        </x14:dataValidation>
        <x14:dataValidation type="list" allowBlank="1" showInputMessage="1" showErrorMessage="1" xr:uid="{F910B900-B767-4FA2-A127-1FB83016F997}">
          <x14:formula1>
            <xm:f>Sheet4!$W$6:$W$9</xm:f>
          </x14:formula1>
          <xm:sqref>P16:Q21 P34:Q39 P52:Q57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8240F-9A4B-412F-88E8-DC47B4E1D22A}">
  <sheetPr>
    <tabColor theme="3" tint="0.249977111117893"/>
  </sheetPr>
  <dimension ref="A1:EI72"/>
  <sheetViews>
    <sheetView showGridLines="0" zoomScale="90" zoomScaleNormal="9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J8" sqref="J8"/>
    </sheetView>
  </sheetViews>
  <sheetFormatPr baseColWidth="10" defaultColWidth="8.83203125" defaultRowHeight="15" x14ac:dyDescent="0.2"/>
  <cols>
    <col min="1" max="1" width="8.83203125" style="1"/>
    <col min="2" max="2" width="8.83203125" style="91"/>
    <col min="3" max="3" width="6.33203125" style="91" customWidth="1"/>
    <col min="4" max="6" width="8.83203125" style="91"/>
    <col min="7" max="7" width="3.33203125" style="91" customWidth="1"/>
    <col min="8" max="8" width="22" style="91" customWidth="1"/>
    <col min="9" max="9" width="3.5" style="91" customWidth="1"/>
    <col min="10" max="10" width="12.5" style="91" customWidth="1"/>
    <col min="11" max="11" width="12.6640625" style="91" customWidth="1"/>
    <col min="12" max="12" width="3.6640625" style="91" customWidth="1"/>
    <col min="13" max="13" width="11.5" style="91" customWidth="1"/>
    <col min="14" max="14" width="13.1640625" style="91" customWidth="1"/>
    <col min="15" max="15" width="3.83203125" style="91" customWidth="1"/>
    <col min="16" max="16" width="12.5" style="91" customWidth="1"/>
    <col min="17" max="17" width="12" style="91" customWidth="1"/>
    <col min="18" max="18" width="4" style="91" customWidth="1"/>
    <col min="19" max="19" width="13.5" style="91" customWidth="1"/>
    <col min="20" max="20" width="13.33203125" style="91" customWidth="1"/>
    <col min="21" max="21" width="3.5" style="91" customWidth="1"/>
    <col min="22" max="22" width="8.83203125" style="91"/>
    <col min="23" max="23" width="7.5" style="91" customWidth="1"/>
    <col min="24" max="24" width="4.33203125" style="91" customWidth="1"/>
    <col min="25" max="25" width="23" style="91" customWidth="1"/>
    <col min="26" max="26" width="3.5" style="91" customWidth="1"/>
    <col min="27" max="27" width="9.5" style="91" customWidth="1"/>
    <col min="28" max="28" width="10.5" style="91" customWidth="1"/>
    <col min="29" max="29" width="10.1640625" style="91" customWidth="1"/>
    <col min="30" max="30" width="2.33203125" style="91" customWidth="1"/>
    <col min="31" max="31" width="8.83203125" style="91"/>
    <col min="32" max="16384" width="8.83203125" style="1"/>
  </cols>
  <sheetData>
    <row r="1" spans="1:139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139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139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139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139" x14ac:dyDescent="0.2">
      <c r="A5" s="1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139" ht="29.5" customHeight="1" x14ac:dyDescent="0.2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139" ht="29.5" customHeight="1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139" ht="14.5" customHeight="1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139" ht="14.5" customHeight="1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139" ht="14.5" customHeight="1" x14ac:dyDescent="0.2">
      <c r="B10" s="89" t="s">
        <v>42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139" customFormat="1" ht="30" customHeight="1" x14ac:dyDescent="0.2">
      <c r="A11" s="1"/>
      <c r="B11" s="91"/>
      <c r="C11" s="78" t="s">
        <v>362</v>
      </c>
      <c r="D11" s="4" t="s">
        <v>371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</row>
    <row r="12" spans="1:139" customFormat="1" ht="7.25" customHeight="1" x14ac:dyDescent="0.2">
      <c r="A12" s="1"/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</row>
    <row r="13" spans="1:139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  <c r="P13" s="2"/>
      <c r="Q13" s="2"/>
      <c r="R13" s="3"/>
      <c r="S13" s="2"/>
      <c r="T13" s="2"/>
      <c r="U13" s="3"/>
      <c r="V13" s="3"/>
      <c r="W13" s="3"/>
      <c r="X13" s="3"/>
      <c r="Y13" s="3"/>
      <c r="Z13" s="3"/>
    </row>
    <row r="14" spans="1:139" ht="33" customHeight="1" x14ac:dyDescent="0.2">
      <c r="C14" s="2"/>
      <c r="D14" s="312" t="s">
        <v>373</v>
      </c>
      <c r="E14" s="312"/>
      <c r="F14" s="312"/>
      <c r="G14" s="2"/>
      <c r="H14" s="312" t="s">
        <v>399</v>
      </c>
      <c r="I14" s="12"/>
      <c r="J14" s="329" t="s">
        <v>389</v>
      </c>
      <c r="K14" s="329"/>
      <c r="L14" s="12"/>
      <c r="M14" s="329" t="s">
        <v>388</v>
      </c>
      <c r="N14" s="329"/>
      <c r="O14" s="310"/>
      <c r="P14" s="329" t="s">
        <v>390</v>
      </c>
      <c r="Q14" s="329"/>
      <c r="R14" s="310"/>
      <c r="S14" s="329" t="s">
        <v>391</v>
      </c>
      <c r="T14" s="329"/>
      <c r="U14" s="310"/>
      <c r="V14" s="312" t="s">
        <v>392</v>
      </c>
      <c r="W14" s="312"/>
      <c r="X14" s="3"/>
      <c r="Y14" s="312" t="s">
        <v>77</v>
      </c>
      <c r="Z14" s="3"/>
    </row>
    <row r="15" spans="1:139" ht="36" customHeight="1" x14ac:dyDescent="0.2">
      <c r="C15" s="2"/>
      <c r="D15" s="312"/>
      <c r="E15" s="312"/>
      <c r="F15" s="312"/>
      <c r="G15" s="12"/>
      <c r="H15" s="312"/>
      <c r="I15" s="12"/>
      <c r="J15" s="79" t="s">
        <v>387</v>
      </c>
      <c r="K15" s="79" t="s">
        <v>386</v>
      </c>
      <c r="L15" s="12"/>
      <c r="M15" s="79" t="s">
        <v>387</v>
      </c>
      <c r="N15" s="79" t="s">
        <v>386</v>
      </c>
      <c r="O15" s="310"/>
      <c r="P15" s="79" t="s">
        <v>387</v>
      </c>
      <c r="Q15" s="79" t="s">
        <v>386</v>
      </c>
      <c r="R15" s="310"/>
      <c r="S15" s="79" t="s">
        <v>387</v>
      </c>
      <c r="T15" s="79" t="s">
        <v>386</v>
      </c>
      <c r="U15" s="310"/>
      <c r="V15" s="312"/>
      <c r="W15" s="312"/>
      <c r="X15" s="3"/>
      <c r="Y15" s="312"/>
      <c r="Z15" s="3"/>
    </row>
    <row r="16" spans="1:139" x14ac:dyDescent="0.2">
      <c r="C16" s="2"/>
      <c r="D16" s="330" t="s">
        <v>33</v>
      </c>
      <c r="E16" s="330"/>
      <c r="F16" s="330"/>
      <c r="G16" s="7"/>
      <c r="H16" s="137">
        <v>0</v>
      </c>
      <c r="I16" s="12"/>
      <c r="J16" s="141"/>
      <c r="K16" s="108">
        <v>7.17</v>
      </c>
      <c r="L16" s="12"/>
      <c r="M16" s="142"/>
      <c r="N16" s="118">
        <v>7.2499999999999995E-2</v>
      </c>
      <c r="O16" s="12"/>
      <c r="P16" s="143"/>
      <c r="Q16" s="99">
        <v>3.27</v>
      </c>
      <c r="R16" s="12"/>
      <c r="S16" s="143"/>
      <c r="T16" s="99">
        <v>502.1</v>
      </c>
      <c r="U16" s="12"/>
      <c r="V16" s="325">
        <v>0</v>
      </c>
      <c r="W16" s="325"/>
      <c r="X16" s="3"/>
      <c r="Y16" s="88">
        <f>((K16-IF(J16&gt;0,J16,K16))*Start!$R$98*(H16*V16))+((N16-IF(M16&gt;0,M16,N16))*Start!$R$100*H16)+((Q16-IF(P16&gt;0,P16,Q16))*Start!$R$102*H16)+((T16-IF(S16&gt;0,S16,T16))*Start!$R$104*H16)</f>
        <v>0</v>
      </c>
      <c r="Z16" s="84"/>
    </row>
    <row r="17" spans="3:26" x14ac:dyDescent="0.2">
      <c r="C17" s="2"/>
      <c r="D17" s="330" t="s">
        <v>33</v>
      </c>
      <c r="E17" s="330"/>
      <c r="F17" s="330"/>
      <c r="G17" s="7"/>
      <c r="H17" s="137">
        <v>0</v>
      </c>
      <c r="I17" s="12"/>
      <c r="J17" s="141"/>
      <c r="K17" s="108">
        <v>7.17</v>
      </c>
      <c r="L17" s="12"/>
      <c r="M17" s="142"/>
      <c r="N17" s="118">
        <v>7.2499999999999995E-2</v>
      </c>
      <c r="O17" s="12"/>
      <c r="P17" s="143"/>
      <c r="Q17" s="99">
        <v>3.27</v>
      </c>
      <c r="R17" s="12"/>
      <c r="S17" s="143"/>
      <c r="T17" s="99">
        <v>502.1</v>
      </c>
      <c r="U17" s="12"/>
      <c r="V17" s="325">
        <v>0</v>
      </c>
      <c r="W17" s="325"/>
      <c r="X17" s="3"/>
      <c r="Y17" s="88">
        <f>((K17-IF(J17&gt;0,J17,K17))*Start!$R$98*(H17*V17))+((N17-IF(M17&gt;0,M17,N17))*Start!$R$100*H17)+((Q17-IF(P17&gt;0,P17,Q17))*Start!$R$102*H17)+((T17-IF(S17&gt;0,S17,T17))*Start!$R$104*H17)</f>
        <v>0</v>
      </c>
      <c r="Z17" s="3"/>
    </row>
    <row r="18" spans="3:26" x14ac:dyDescent="0.2">
      <c r="C18" s="2"/>
      <c r="D18" s="330" t="s">
        <v>33</v>
      </c>
      <c r="E18" s="330"/>
      <c r="F18" s="330"/>
      <c r="G18" s="7"/>
      <c r="H18" s="137">
        <v>0</v>
      </c>
      <c r="I18" s="12"/>
      <c r="J18" s="141"/>
      <c r="K18" s="108">
        <v>7.17</v>
      </c>
      <c r="L18" s="12"/>
      <c r="M18" s="142"/>
      <c r="N18" s="118">
        <v>7.2499999999999995E-2</v>
      </c>
      <c r="O18" s="12"/>
      <c r="P18" s="143"/>
      <c r="Q18" s="99">
        <v>3.27</v>
      </c>
      <c r="R18" s="12"/>
      <c r="S18" s="143"/>
      <c r="T18" s="99">
        <v>502.1</v>
      </c>
      <c r="U18" s="12"/>
      <c r="V18" s="325">
        <v>0</v>
      </c>
      <c r="W18" s="325"/>
      <c r="X18" s="3"/>
      <c r="Y18" s="88">
        <f>((K18-IF(J18&gt;0,J18,K18))*Start!$R$98*(H18*V18))+((N18-IF(M18&gt;0,M18,N18))*Start!$R$100*H18)+((Q18-IF(P18&gt;0,P18,Q18))*Start!$R$102*H18)+((T18-IF(S18&gt;0,S18,T18))*Start!$R$104*H18)</f>
        <v>0</v>
      </c>
      <c r="Z18" s="3"/>
    </row>
    <row r="19" spans="3:26" x14ac:dyDescent="0.2">
      <c r="C19" s="2"/>
      <c r="D19" s="330" t="s">
        <v>33</v>
      </c>
      <c r="E19" s="330"/>
      <c r="F19" s="330"/>
      <c r="G19" s="7"/>
      <c r="H19" s="137">
        <v>0</v>
      </c>
      <c r="I19" s="12"/>
      <c r="J19" s="141"/>
      <c r="K19" s="108">
        <v>7.17</v>
      </c>
      <c r="L19" s="12"/>
      <c r="M19" s="142"/>
      <c r="N19" s="118">
        <v>7.2499999999999995E-2</v>
      </c>
      <c r="O19" s="12"/>
      <c r="P19" s="143"/>
      <c r="Q19" s="99">
        <v>3.27</v>
      </c>
      <c r="R19" s="12"/>
      <c r="S19" s="143"/>
      <c r="T19" s="99">
        <v>502.1</v>
      </c>
      <c r="U19" s="12"/>
      <c r="V19" s="325">
        <v>0</v>
      </c>
      <c r="W19" s="325"/>
      <c r="X19" s="3"/>
      <c r="Y19" s="88">
        <f>((K19-IF(J19&gt;0,J19,K19))*Start!$R$98*(H19*V19))+((N19-IF(M19&gt;0,M19,N19))*Start!$R$100*H19)+((Q19-IF(P19&gt;0,P19,Q19))*Start!$R$102*H19)+((T19-IF(S19&gt;0,S19,T19))*Start!$R$104*H19)</f>
        <v>0</v>
      </c>
      <c r="Z19" s="3"/>
    </row>
    <row r="20" spans="3:26" x14ac:dyDescent="0.2">
      <c r="C20" s="2"/>
      <c r="D20" s="330" t="s">
        <v>33</v>
      </c>
      <c r="E20" s="330"/>
      <c r="F20" s="330"/>
      <c r="G20" s="7"/>
      <c r="H20" s="137">
        <v>0</v>
      </c>
      <c r="I20" s="12"/>
      <c r="J20" s="141"/>
      <c r="K20" s="108">
        <v>7.17</v>
      </c>
      <c r="L20" s="12"/>
      <c r="M20" s="142"/>
      <c r="N20" s="118">
        <v>7.2499999999999995E-2</v>
      </c>
      <c r="O20" s="12"/>
      <c r="P20" s="143"/>
      <c r="Q20" s="99">
        <v>3.27</v>
      </c>
      <c r="R20" s="12"/>
      <c r="S20" s="143"/>
      <c r="T20" s="99">
        <v>502.1</v>
      </c>
      <c r="U20" s="12"/>
      <c r="V20" s="325">
        <v>0</v>
      </c>
      <c r="W20" s="325"/>
      <c r="X20" s="3"/>
      <c r="Y20" s="88">
        <f>((K20-IF(J20&gt;0,J20,K20))*Start!$R$98*(H20*V20))+((N20-IF(M20&gt;0,M20,N20))*Start!$R$100*H20)+((Q20-IF(P20&gt;0,P20,Q20))*Start!$R$102*H20)+((T20-IF(S20&gt;0,S20,T20))*Start!$R$104*H20)</f>
        <v>0</v>
      </c>
      <c r="Z20" s="3"/>
    </row>
    <row r="21" spans="3:26" x14ac:dyDescent="0.2">
      <c r="C21" s="2"/>
      <c r="D21" s="330" t="s">
        <v>33</v>
      </c>
      <c r="E21" s="330"/>
      <c r="F21" s="330"/>
      <c r="G21" s="7"/>
      <c r="H21" s="137">
        <v>0</v>
      </c>
      <c r="I21" s="12"/>
      <c r="J21" s="141"/>
      <c r="K21" s="108">
        <v>7.17</v>
      </c>
      <c r="L21" s="12"/>
      <c r="M21" s="142"/>
      <c r="N21" s="118">
        <v>7.2499999999999995E-2</v>
      </c>
      <c r="O21" s="12"/>
      <c r="P21" s="143"/>
      <c r="Q21" s="99">
        <v>3.27</v>
      </c>
      <c r="R21" s="12"/>
      <c r="S21" s="143"/>
      <c r="T21" s="99">
        <v>502.1</v>
      </c>
      <c r="U21" s="12"/>
      <c r="V21" s="325">
        <v>0</v>
      </c>
      <c r="W21" s="325"/>
      <c r="X21" s="3"/>
      <c r="Y21" s="88">
        <f>((K21-IF(J21&gt;0,J21,K21))*Start!$R$98*(H21*V21))+((N21-IF(M21&gt;0,M21,N21))*Start!$R$100*H21)+((Q21-IF(P21&gt;0,P21,Q21))*Start!$R$102*H21)+((T21-IF(S21&gt;0,S21,T21))*Start!$R$104*H21)</f>
        <v>0</v>
      </c>
      <c r="Z21" s="3"/>
    </row>
    <row r="22" spans="3:26" x14ac:dyDescent="0.2">
      <c r="C22" s="2"/>
      <c r="D22" s="330" t="s">
        <v>33</v>
      </c>
      <c r="E22" s="330"/>
      <c r="F22" s="330"/>
      <c r="G22" s="7"/>
      <c r="H22" s="137">
        <v>0</v>
      </c>
      <c r="I22" s="12"/>
      <c r="J22" s="141"/>
      <c r="K22" s="108">
        <v>7.17</v>
      </c>
      <c r="L22" s="12"/>
      <c r="M22" s="142"/>
      <c r="N22" s="118">
        <v>7.2499999999999995E-2</v>
      </c>
      <c r="O22" s="12"/>
      <c r="P22" s="143"/>
      <c r="Q22" s="99">
        <v>3.27</v>
      </c>
      <c r="R22" s="12"/>
      <c r="S22" s="143"/>
      <c r="T22" s="99">
        <v>502.1</v>
      </c>
      <c r="U22" s="12"/>
      <c r="V22" s="325">
        <v>0</v>
      </c>
      <c r="W22" s="325"/>
      <c r="X22" s="3"/>
      <c r="Y22" s="88">
        <f>((K22-IF(J22&gt;0,J22,K22))*Start!$R$98*(H22*V22))+((N22-IF(M22&gt;0,M22,N22))*Start!$R$100*H22)+((Q22-IF(P22&gt;0,P22,Q22))*Start!$R$102*H22)+((T22-IF(S22&gt;0,S22,T22))*Start!$R$104*H22)</f>
        <v>0</v>
      </c>
      <c r="Z22" s="3"/>
    </row>
    <row r="23" spans="3:26" x14ac:dyDescent="0.2">
      <c r="C23" s="2"/>
      <c r="D23" s="330" t="s">
        <v>33</v>
      </c>
      <c r="E23" s="330"/>
      <c r="F23" s="330"/>
      <c r="G23" s="7"/>
      <c r="H23" s="137">
        <v>0</v>
      </c>
      <c r="I23" s="12"/>
      <c r="J23" s="141"/>
      <c r="K23" s="108">
        <v>7.17</v>
      </c>
      <c r="L23" s="12"/>
      <c r="M23" s="142"/>
      <c r="N23" s="118">
        <v>7.2499999999999995E-2</v>
      </c>
      <c r="O23" s="12"/>
      <c r="P23" s="143"/>
      <c r="Q23" s="99">
        <v>3.27</v>
      </c>
      <c r="R23" s="12"/>
      <c r="S23" s="143"/>
      <c r="T23" s="99">
        <v>502.1</v>
      </c>
      <c r="U23" s="12"/>
      <c r="V23" s="325">
        <v>0</v>
      </c>
      <c r="W23" s="325"/>
      <c r="X23" s="3"/>
      <c r="Y23" s="88">
        <f>((K23-IF(J23&gt;0,J23,K23))*Start!$R$98*(H23*V23))+((N23-IF(M23&gt;0,M23,N23))*Start!$R$100*H23)+((Q23-IF(P23&gt;0,P23,Q23))*Start!$R$102*H23)+((T23-IF(S23&gt;0,S23,T23))*Start!$R$104*H23)</f>
        <v>0</v>
      </c>
      <c r="Z23" s="3"/>
    </row>
    <row r="24" spans="3:26" x14ac:dyDescent="0.2">
      <c r="C24" s="2"/>
      <c r="D24" s="330" t="s">
        <v>33</v>
      </c>
      <c r="E24" s="330"/>
      <c r="F24" s="330"/>
      <c r="G24" s="7"/>
      <c r="H24" s="137">
        <v>0</v>
      </c>
      <c r="I24" s="12"/>
      <c r="J24" s="141"/>
      <c r="K24" s="108">
        <v>7.17</v>
      </c>
      <c r="L24" s="12"/>
      <c r="M24" s="142"/>
      <c r="N24" s="118">
        <v>7.2499999999999995E-2</v>
      </c>
      <c r="O24" s="12"/>
      <c r="P24" s="143"/>
      <c r="Q24" s="99">
        <v>3.27</v>
      </c>
      <c r="R24" s="12"/>
      <c r="S24" s="143"/>
      <c r="T24" s="99">
        <v>502.1</v>
      </c>
      <c r="U24" s="12"/>
      <c r="V24" s="325">
        <v>0</v>
      </c>
      <c r="W24" s="325"/>
      <c r="X24" s="3"/>
      <c r="Y24" s="88">
        <f>((K24-IF(J24&gt;0,J24,K24))*Start!$R$98*(H24*V24))+((N24-IF(M24&gt;0,M24,N24))*Start!$R$100*H24)+((Q24-IF(P24&gt;0,P24,Q24))*Start!$R$102*H24)+((T24-IF(S24&gt;0,S24,T24))*Start!$R$104*H24)</f>
        <v>0</v>
      </c>
      <c r="Z24" s="3"/>
    </row>
    <row r="25" spans="3:26" x14ac:dyDescent="0.2">
      <c r="C25" s="2"/>
      <c r="D25" s="330" t="s">
        <v>33</v>
      </c>
      <c r="E25" s="330"/>
      <c r="F25" s="330"/>
      <c r="G25" s="7"/>
      <c r="H25" s="137">
        <v>0</v>
      </c>
      <c r="I25" s="12"/>
      <c r="J25" s="141"/>
      <c r="K25" s="108">
        <v>7.17</v>
      </c>
      <c r="L25" s="12"/>
      <c r="M25" s="142"/>
      <c r="N25" s="118">
        <v>7.2499999999999995E-2</v>
      </c>
      <c r="O25" s="12"/>
      <c r="P25" s="143"/>
      <c r="Q25" s="99">
        <v>3.27</v>
      </c>
      <c r="R25" s="12"/>
      <c r="S25" s="143"/>
      <c r="T25" s="99">
        <v>502.1</v>
      </c>
      <c r="U25" s="12"/>
      <c r="V25" s="325">
        <v>0</v>
      </c>
      <c r="W25" s="325"/>
      <c r="X25" s="3"/>
      <c r="Y25" s="90">
        <f>((K25-IF(J25&gt;0,J25,K25))*Start!$R$98*(H25*V25))+((N25-IF(M25&gt;0,M25,N25))*Start!$R$100*H25)+((Q25-IF(P25&gt;0,P25,Q25))*Start!$R$102*H25)+((T25-IF(S25&gt;0,S25,T25))*Start!$R$104*H25)</f>
        <v>0</v>
      </c>
      <c r="Z25" s="3"/>
    </row>
    <row r="26" spans="3:26" ht="15.5" customHeight="1" x14ac:dyDescent="0.2">
      <c r="C26" s="2"/>
      <c r="D26" s="5"/>
      <c r="E26" s="6"/>
      <c r="F26" s="6"/>
      <c r="G26" s="7"/>
      <c r="H26" s="7"/>
      <c r="I26" s="7"/>
      <c r="J26" s="7"/>
      <c r="K26" s="7"/>
      <c r="L26" s="2"/>
      <c r="M26" s="2"/>
      <c r="N26" s="2"/>
      <c r="O26" s="3"/>
      <c r="P26" s="2"/>
      <c r="Q26" s="2"/>
      <c r="R26" s="3"/>
      <c r="S26" s="2"/>
      <c r="T26" s="2"/>
      <c r="U26" s="3"/>
      <c r="V26" s="3"/>
      <c r="W26" s="3"/>
      <c r="X26" s="3"/>
      <c r="Y26" s="306">
        <f>SUM(Y16:Y25)</f>
        <v>0</v>
      </c>
      <c r="Z26" s="3"/>
    </row>
    <row r="27" spans="3:26" ht="15.5" customHeight="1" x14ac:dyDescent="0.2">
      <c r="C27" s="2"/>
      <c r="D27" s="75"/>
      <c r="E27" s="6"/>
      <c r="F27" s="6"/>
      <c r="G27" s="7"/>
      <c r="H27" s="7"/>
      <c r="I27" s="7"/>
      <c r="J27" s="7"/>
      <c r="K27" s="7"/>
      <c r="L27" s="2"/>
      <c r="M27" s="2"/>
      <c r="N27" s="2"/>
      <c r="O27" s="3"/>
      <c r="P27" s="2"/>
      <c r="Q27" s="2"/>
      <c r="R27" s="3"/>
      <c r="S27" s="2"/>
      <c r="T27" s="2"/>
      <c r="U27" s="3"/>
      <c r="V27" s="3"/>
      <c r="W27" s="3"/>
      <c r="X27" s="3"/>
      <c r="Y27" s="305"/>
      <c r="Z27" s="3"/>
    </row>
    <row r="28" spans="3:26" ht="15.5" customHeight="1" x14ac:dyDescent="0.2">
      <c r="C28" s="2"/>
      <c r="D28" s="75"/>
      <c r="E28" s="6"/>
      <c r="F28" s="6"/>
      <c r="G28" s="7"/>
      <c r="H28" s="7"/>
      <c r="I28" s="7"/>
      <c r="J28" s="7"/>
      <c r="K28" s="7"/>
      <c r="L28" s="2"/>
      <c r="M28" s="2"/>
      <c r="N28" s="2"/>
      <c r="O28" s="3"/>
      <c r="P28" s="2"/>
      <c r="Q28" s="2"/>
      <c r="R28" s="3"/>
      <c r="S28" s="2"/>
      <c r="T28" s="2"/>
      <c r="U28" s="3"/>
      <c r="V28" s="3"/>
      <c r="W28" s="3"/>
      <c r="X28" s="3"/>
      <c r="Y28" s="3"/>
      <c r="Z28" s="3"/>
    </row>
    <row r="33" spans="1:41" customFormat="1" ht="30" customHeight="1" x14ac:dyDescent="0.2">
      <c r="A33" s="1"/>
      <c r="B33" s="91"/>
      <c r="C33" s="78" t="s">
        <v>363</v>
      </c>
      <c r="D33" s="4" t="s">
        <v>372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customFormat="1" ht="7.25" customHeight="1" x14ac:dyDescent="0.2">
      <c r="A34" s="1"/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customFormat="1" ht="14.5" customHeight="1" x14ac:dyDescent="0.2">
      <c r="A35" s="1"/>
      <c r="B35" s="91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3"/>
      <c r="Q35" s="3"/>
      <c r="R35" s="3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customFormat="1" ht="33" customHeight="1" x14ac:dyDescent="0.2">
      <c r="A36" s="1"/>
      <c r="B36" s="91"/>
      <c r="C36" s="2"/>
      <c r="D36" s="312" t="s">
        <v>413</v>
      </c>
      <c r="E36" s="312"/>
      <c r="F36" s="312"/>
      <c r="G36" s="312"/>
      <c r="H36" s="312"/>
      <c r="I36" s="2"/>
      <c r="J36" s="312" t="s">
        <v>414</v>
      </c>
      <c r="K36" s="312"/>
      <c r="L36" s="2"/>
      <c r="M36" s="329" t="s">
        <v>415</v>
      </c>
      <c r="N36" s="329"/>
      <c r="O36" s="2"/>
      <c r="P36" s="312" t="s">
        <v>77</v>
      </c>
      <c r="Q36" s="312"/>
      <c r="R36" s="3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customFormat="1" ht="36" customHeight="1" x14ac:dyDescent="0.2">
      <c r="A37" s="1"/>
      <c r="B37" s="91"/>
      <c r="C37" s="2"/>
      <c r="D37" s="312"/>
      <c r="E37" s="312"/>
      <c r="F37" s="312"/>
      <c r="G37" s="312"/>
      <c r="H37" s="312"/>
      <c r="I37" s="2"/>
      <c r="J37" s="312"/>
      <c r="K37" s="312"/>
      <c r="L37" s="2"/>
      <c r="M37" s="12" t="s">
        <v>366</v>
      </c>
      <c r="N37" s="12" t="s">
        <v>51</v>
      </c>
      <c r="O37" s="2"/>
      <c r="P37" s="312"/>
      <c r="Q37" s="312"/>
      <c r="R37" s="3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customFormat="1" ht="14.5" customHeight="1" x14ac:dyDescent="0.2">
      <c r="A38" s="1"/>
      <c r="B38" s="91"/>
      <c r="C38" s="2"/>
      <c r="D38" s="330" t="s">
        <v>33</v>
      </c>
      <c r="E38" s="330"/>
      <c r="F38" s="330"/>
      <c r="G38" s="330"/>
      <c r="H38" s="330"/>
      <c r="I38" s="2"/>
      <c r="J38" s="325">
        <v>0</v>
      </c>
      <c r="K38" s="325"/>
      <c r="L38" s="2"/>
      <c r="M38" s="144"/>
      <c r="N38" s="99">
        <f>IF(D38="Please select",0,VLOOKUP(D38,Sheet6!$C$56:$E$66,3,FALSE))</f>
        <v>0</v>
      </c>
      <c r="O38" s="2"/>
      <c r="P38" s="305">
        <f>(N38/1000)*3.664*J38</f>
        <v>0</v>
      </c>
      <c r="Q38" s="305"/>
      <c r="R38" s="3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customFormat="1" ht="14.5" customHeight="1" x14ac:dyDescent="0.2">
      <c r="A39" s="1"/>
      <c r="B39" s="91"/>
      <c r="C39" s="2"/>
      <c r="D39" s="330" t="s">
        <v>33</v>
      </c>
      <c r="E39" s="330"/>
      <c r="F39" s="330"/>
      <c r="G39" s="330"/>
      <c r="H39" s="330"/>
      <c r="I39" s="2"/>
      <c r="J39" s="325">
        <v>0</v>
      </c>
      <c r="K39" s="325"/>
      <c r="L39" s="2"/>
      <c r="M39" s="144"/>
      <c r="N39" s="99">
        <f>IF(D39="Please select",0,VLOOKUP(D39,Sheet6!$C$56:$E$66,3,FALSE))</f>
        <v>0</v>
      </c>
      <c r="O39" s="2"/>
      <c r="P39" s="305">
        <f t="shared" ref="P39:P47" si="0">(N39/1000)*3.664*J39</f>
        <v>0</v>
      </c>
      <c r="Q39" s="305"/>
      <c r="R39" s="3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customFormat="1" ht="14.5" customHeight="1" x14ac:dyDescent="0.2">
      <c r="A40" s="1"/>
      <c r="B40" s="91"/>
      <c r="C40" s="2"/>
      <c r="D40" s="330" t="s">
        <v>33</v>
      </c>
      <c r="E40" s="330"/>
      <c r="F40" s="330"/>
      <c r="G40" s="330"/>
      <c r="H40" s="330"/>
      <c r="I40" s="2"/>
      <c r="J40" s="325">
        <v>0</v>
      </c>
      <c r="K40" s="325"/>
      <c r="L40" s="2"/>
      <c r="M40" s="144"/>
      <c r="N40" s="99">
        <f>IF(D40="Please select",0,VLOOKUP(D40,Sheet6!$C$56:$E$66,3,FALSE))</f>
        <v>0</v>
      </c>
      <c r="O40" s="2"/>
      <c r="P40" s="305">
        <f t="shared" si="0"/>
        <v>0</v>
      </c>
      <c r="Q40" s="305"/>
      <c r="R40" s="3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customFormat="1" ht="14.5" customHeight="1" x14ac:dyDescent="0.2">
      <c r="A41" s="1"/>
      <c r="B41" s="91"/>
      <c r="C41" s="2"/>
      <c r="D41" s="330" t="s">
        <v>33</v>
      </c>
      <c r="E41" s="330"/>
      <c r="F41" s="330"/>
      <c r="G41" s="330"/>
      <c r="H41" s="330"/>
      <c r="I41" s="2"/>
      <c r="J41" s="325">
        <v>0</v>
      </c>
      <c r="K41" s="325"/>
      <c r="L41" s="2"/>
      <c r="M41" s="144"/>
      <c r="N41" s="99">
        <f>IF(D41="Please select",0,VLOOKUP(D41,Sheet6!$C$56:$E$66,3,FALSE))</f>
        <v>0</v>
      </c>
      <c r="O41" s="2"/>
      <c r="P41" s="305">
        <f t="shared" si="0"/>
        <v>0</v>
      </c>
      <c r="Q41" s="305"/>
      <c r="R41" s="3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customFormat="1" ht="14.5" customHeight="1" x14ac:dyDescent="0.2">
      <c r="A42" s="1"/>
      <c r="B42" s="91"/>
      <c r="C42" s="2"/>
      <c r="D42" s="330" t="s">
        <v>33</v>
      </c>
      <c r="E42" s="330"/>
      <c r="F42" s="330"/>
      <c r="G42" s="330"/>
      <c r="H42" s="330"/>
      <c r="I42" s="2"/>
      <c r="J42" s="325">
        <v>0</v>
      </c>
      <c r="K42" s="325"/>
      <c r="L42" s="2"/>
      <c r="M42" s="144"/>
      <c r="N42" s="99">
        <f>IF(D42="Please select",0,VLOOKUP(D42,Sheet6!$C$56:$E$66,3,FALSE))</f>
        <v>0</v>
      </c>
      <c r="O42" s="2"/>
      <c r="P42" s="305">
        <f t="shared" si="0"/>
        <v>0</v>
      </c>
      <c r="Q42" s="305"/>
      <c r="R42" s="3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customFormat="1" ht="14.5" customHeight="1" x14ac:dyDescent="0.2">
      <c r="A43" s="1"/>
      <c r="B43" s="91"/>
      <c r="C43" s="2"/>
      <c r="D43" s="330" t="s">
        <v>33</v>
      </c>
      <c r="E43" s="330"/>
      <c r="F43" s="330"/>
      <c r="G43" s="330"/>
      <c r="H43" s="330"/>
      <c r="I43" s="2"/>
      <c r="J43" s="325">
        <v>0</v>
      </c>
      <c r="K43" s="325"/>
      <c r="L43" s="2"/>
      <c r="M43" s="144"/>
      <c r="N43" s="99">
        <f>IF(D43="Please select",0,VLOOKUP(D43,Sheet6!$C$56:$E$66,3,FALSE))</f>
        <v>0</v>
      </c>
      <c r="O43" s="2"/>
      <c r="P43" s="305">
        <f t="shared" si="0"/>
        <v>0</v>
      </c>
      <c r="Q43" s="305"/>
      <c r="R43" s="3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customFormat="1" ht="14.5" customHeight="1" x14ac:dyDescent="0.2">
      <c r="A44" s="1"/>
      <c r="B44" s="91"/>
      <c r="C44" s="2"/>
      <c r="D44" s="330" t="s">
        <v>33</v>
      </c>
      <c r="E44" s="330"/>
      <c r="F44" s="330"/>
      <c r="G44" s="330"/>
      <c r="H44" s="330"/>
      <c r="I44" s="2"/>
      <c r="J44" s="325">
        <v>0</v>
      </c>
      <c r="K44" s="325"/>
      <c r="L44" s="2"/>
      <c r="M44" s="144"/>
      <c r="N44" s="99">
        <f>IF(D44="Please select",0,VLOOKUP(D44,Sheet6!$C$56:$E$66,3,FALSE))</f>
        <v>0</v>
      </c>
      <c r="O44" s="2"/>
      <c r="P44" s="305">
        <f t="shared" si="0"/>
        <v>0</v>
      </c>
      <c r="Q44" s="305"/>
      <c r="R44" s="3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customFormat="1" ht="14.5" customHeight="1" x14ac:dyDescent="0.2">
      <c r="A45" s="1"/>
      <c r="B45" s="91"/>
      <c r="C45" s="2"/>
      <c r="D45" s="330" t="s">
        <v>33</v>
      </c>
      <c r="E45" s="330"/>
      <c r="F45" s="330"/>
      <c r="G45" s="330"/>
      <c r="H45" s="330"/>
      <c r="I45" s="2"/>
      <c r="J45" s="325">
        <v>0</v>
      </c>
      <c r="K45" s="325"/>
      <c r="L45" s="2"/>
      <c r="M45" s="144"/>
      <c r="N45" s="99">
        <f>IF(D45="Please select",0,VLOOKUP(D45,Sheet6!$C$56:$E$66,3,FALSE))</f>
        <v>0</v>
      </c>
      <c r="O45" s="2"/>
      <c r="P45" s="305">
        <f t="shared" si="0"/>
        <v>0</v>
      </c>
      <c r="Q45" s="305"/>
      <c r="R45" s="3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customFormat="1" ht="14.5" customHeight="1" x14ac:dyDescent="0.2">
      <c r="A46" s="1"/>
      <c r="B46" s="91"/>
      <c r="C46" s="2"/>
      <c r="D46" s="330" t="s">
        <v>33</v>
      </c>
      <c r="E46" s="330"/>
      <c r="F46" s="330"/>
      <c r="G46" s="330"/>
      <c r="H46" s="330"/>
      <c r="I46" s="2"/>
      <c r="J46" s="325">
        <v>0</v>
      </c>
      <c r="K46" s="325"/>
      <c r="L46" s="2"/>
      <c r="M46" s="144"/>
      <c r="N46" s="99">
        <f>IF(D46="Please select",0,VLOOKUP(D46,Sheet6!$C$56:$E$66,3,FALSE))</f>
        <v>0</v>
      </c>
      <c r="O46" s="2"/>
      <c r="P46" s="305">
        <f t="shared" si="0"/>
        <v>0</v>
      </c>
      <c r="Q46" s="305"/>
      <c r="R46" s="3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customFormat="1" ht="14.5" customHeight="1" x14ac:dyDescent="0.2">
      <c r="A47" s="1"/>
      <c r="B47" s="91"/>
      <c r="C47" s="2"/>
      <c r="D47" s="330" t="s">
        <v>33</v>
      </c>
      <c r="E47" s="330"/>
      <c r="F47" s="330"/>
      <c r="G47" s="330"/>
      <c r="H47" s="330"/>
      <c r="I47" s="2"/>
      <c r="J47" s="325">
        <v>0</v>
      </c>
      <c r="K47" s="325"/>
      <c r="L47" s="2"/>
      <c r="M47" s="144"/>
      <c r="N47" s="99">
        <f>IF(D47="Please select",0,VLOOKUP(D47,Sheet6!$C$56:$E$66,3,FALSE))</f>
        <v>0</v>
      </c>
      <c r="O47" s="2"/>
      <c r="P47" s="311">
        <f t="shared" si="0"/>
        <v>0</v>
      </c>
      <c r="Q47" s="311"/>
      <c r="R47" s="3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customFormat="1" ht="14.5" customHeight="1" x14ac:dyDescent="0.2">
      <c r="A48" s="1"/>
      <c r="B48" s="91"/>
      <c r="C48" s="2"/>
      <c r="D48" s="5"/>
      <c r="E48" s="6"/>
      <c r="F48" s="6"/>
      <c r="G48" s="7"/>
      <c r="H48" s="2"/>
      <c r="I48" s="2"/>
      <c r="J48" s="2"/>
      <c r="K48" s="2"/>
      <c r="L48" s="2"/>
      <c r="M48" s="2"/>
      <c r="N48" s="2"/>
      <c r="O48" s="2"/>
      <c r="P48" s="305">
        <f>SUM(P38:Q47)</f>
        <v>0</v>
      </c>
      <c r="Q48" s="305"/>
      <c r="R48" s="3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customFormat="1" ht="14.5" customHeight="1" x14ac:dyDescent="0.2">
      <c r="A49" s="1"/>
      <c r="B49" s="91"/>
      <c r="C49" s="2"/>
      <c r="D49" s="75"/>
      <c r="E49" s="6"/>
      <c r="F49" s="6"/>
      <c r="G49" s="7"/>
      <c r="H49" s="2"/>
      <c r="I49" s="2"/>
      <c r="J49" s="2"/>
      <c r="K49" s="2"/>
      <c r="L49" s="2"/>
      <c r="M49" s="2"/>
      <c r="N49" s="2"/>
      <c r="O49" s="2"/>
      <c r="P49" s="305"/>
      <c r="Q49" s="305"/>
      <c r="R49" s="3"/>
      <c r="S49" s="91"/>
      <c r="T49" s="91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customFormat="1" ht="14.5" customHeight="1" x14ac:dyDescent="0.2">
      <c r="A50" s="1"/>
      <c r="B50" s="91"/>
      <c r="C50" s="2"/>
      <c r="D50" s="75"/>
      <c r="E50" s="6"/>
      <c r="F50" s="6"/>
      <c r="G50" s="7"/>
      <c r="H50" s="2"/>
      <c r="I50" s="2"/>
      <c r="J50" s="2"/>
      <c r="K50" s="2"/>
      <c r="L50" s="2"/>
      <c r="M50" s="2"/>
      <c r="N50" s="2"/>
      <c r="O50" s="2"/>
      <c r="P50" s="3"/>
      <c r="Q50" s="3"/>
      <c r="R50" s="3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customFormat="1" ht="14.5" customHeight="1" x14ac:dyDescent="0.2">
      <c r="A51" s="1"/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customFormat="1" ht="14.5" customHeight="1" x14ac:dyDescent="0.2">
      <c r="A52" s="1"/>
      <c r="B52" s="91"/>
      <c r="C52" s="91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customFormat="1" ht="14.5" customHeight="1" x14ac:dyDescent="0.2">
      <c r="A53" s="1"/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4.5" customHeight="1" x14ac:dyDescent="0.2"/>
    <row r="55" spans="1:41" customFormat="1" ht="30" customHeight="1" x14ac:dyDescent="0.2">
      <c r="A55" s="1"/>
      <c r="B55" s="91"/>
      <c r="C55" s="78" t="s">
        <v>364</v>
      </c>
      <c r="D55" s="4" t="s">
        <v>365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7.25" customHeight="1" x14ac:dyDescent="0.2"/>
    <row r="57" spans="1:41" x14ac:dyDescent="0.2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3"/>
      <c r="P57" s="3"/>
      <c r="Q57" s="3"/>
      <c r="R57" s="3"/>
      <c r="S57" s="113"/>
      <c r="T57" s="112"/>
      <c r="U57" s="112"/>
    </row>
    <row r="58" spans="1:41" ht="33" customHeight="1" x14ac:dyDescent="0.2">
      <c r="C58" s="2"/>
      <c r="D58" s="312" t="s">
        <v>374</v>
      </c>
      <c r="E58" s="312"/>
      <c r="F58" s="312"/>
      <c r="G58" s="2"/>
      <c r="H58" s="312" t="s">
        <v>240</v>
      </c>
      <c r="I58" s="12"/>
      <c r="J58" s="329" t="s">
        <v>370</v>
      </c>
      <c r="K58" s="329"/>
      <c r="L58" s="12"/>
      <c r="M58" s="329" t="s">
        <v>369</v>
      </c>
      <c r="N58" s="329"/>
      <c r="O58" s="310"/>
      <c r="P58" s="310" t="s">
        <v>77</v>
      </c>
      <c r="Q58" s="310"/>
      <c r="R58" s="83"/>
      <c r="S58" s="113"/>
      <c r="T58" s="113"/>
      <c r="U58" s="113"/>
    </row>
    <row r="59" spans="1:41" ht="36" customHeight="1" x14ac:dyDescent="0.2">
      <c r="C59" s="2"/>
      <c r="D59" s="312"/>
      <c r="E59" s="312"/>
      <c r="F59" s="312"/>
      <c r="G59" s="12"/>
      <c r="H59" s="312"/>
      <c r="I59" s="12"/>
      <c r="J59" s="79" t="s">
        <v>366</v>
      </c>
      <c r="K59" s="79" t="s">
        <v>51</v>
      </c>
      <c r="L59" s="12"/>
      <c r="M59" s="79" t="s">
        <v>366</v>
      </c>
      <c r="N59" s="79" t="s">
        <v>51</v>
      </c>
      <c r="O59" s="310"/>
      <c r="P59" s="310"/>
      <c r="Q59" s="310"/>
      <c r="R59" s="83"/>
      <c r="S59" s="113"/>
      <c r="T59" s="114"/>
      <c r="U59" s="114"/>
    </row>
    <row r="60" spans="1:41" ht="17" customHeight="1" x14ac:dyDescent="0.2">
      <c r="C60" s="2"/>
      <c r="D60" s="318" t="s">
        <v>33</v>
      </c>
      <c r="E60" s="318"/>
      <c r="F60" s="318"/>
      <c r="G60" s="7"/>
      <c r="H60" s="137">
        <v>0</v>
      </c>
      <c r="I60" s="12"/>
      <c r="J60" s="145"/>
      <c r="K60" s="108">
        <v>2.31</v>
      </c>
      <c r="L60" s="12"/>
      <c r="M60" s="145"/>
      <c r="N60" s="108">
        <f>IF(D60="Please select",0,VLOOKUP(D60,Sheet6!B3:E21,4,FALSE))</f>
        <v>0</v>
      </c>
      <c r="O60" s="12"/>
      <c r="P60" s="305">
        <f>(H60*K60)-((H60*K60)*N60)</f>
        <v>0</v>
      </c>
      <c r="Q60" s="305"/>
      <c r="R60" s="84"/>
      <c r="S60" s="113"/>
      <c r="T60" s="115"/>
      <c r="U60" s="115"/>
    </row>
    <row r="61" spans="1:41" customFormat="1" ht="17" customHeight="1" x14ac:dyDescent="0.2">
      <c r="A61" s="1"/>
      <c r="B61" s="91"/>
      <c r="C61" s="2"/>
      <c r="D61" s="318" t="s">
        <v>33</v>
      </c>
      <c r="E61" s="318"/>
      <c r="F61" s="318"/>
      <c r="G61" s="7"/>
      <c r="H61" s="137">
        <v>0</v>
      </c>
      <c r="I61" s="12"/>
      <c r="J61" s="145"/>
      <c r="K61" s="108">
        <v>2.31</v>
      </c>
      <c r="L61" s="12"/>
      <c r="M61" s="145"/>
      <c r="N61" s="108">
        <f>IF(D61="Please select",0,VLOOKUP(D61,Sheet6!B4:E22,4,FALSE))</f>
        <v>0</v>
      </c>
      <c r="O61" s="12"/>
      <c r="P61" s="305">
        <f t="shared" ref="P61:P69" si="1">(H61*K61)-((H61*K61)*N61)</f>
        <v>0</v>
      </c>
      <c r="Q61" s="305"/>
      <c r="R61" s="84"/>
      <c r="S61" s="113"/>
      <c r="T61" s="115"/>
      <c r="U61" s="115"/>
      <c r="V61" s="91"/>
      <c r="W61" s="91"/>
      <c r="X61" s="91"/>
      <c r="Y61" s="91"/>
      <c r="Z61" s="91"/>
      <c r="AA61" s="91"/>
      <c r="AB61" s="91"/>
      <c r="AC61" s="91"/>
      <c r="AD61" s="91"/>
      <c r="AE61" s="91"/>
      <c r="AF61" s="1"/>
      <c r="AG61" s="1"/>
      <c r="AH61" s="1"/>
      <c r="AI61" s="1"/>
      <c r="AJ61" s="1"/>
      <c r="AK61" s="1"/>
      <c r="AL61" s="1"/>
      <c r="AM61" s="1"/>
      <c r="AN61" s="1"/>
      <c r="AO61" s="1"/>
    </row>
    <row r="62" spans="1:41" customFormat="1" ht="17" customHeight="1" x14ac:dyDescent="0.2">
      <c r="A62" s="1"/>
      <c r="B62" s="91"/>
      <c r="C62" s="2"/>
      <c r="D62" s="318" t="s">
        <v>33</v>
      </c>
      <c r="E62" s="318"/>
      <c r="F62" s="318"/>
      <c r="G62" s="7"/>
      <c r="H62" s="137">
        <v>0</v>
      </c>
      <c r="I62" s="12"/>
      <c r="J62" s="145"/>
      <c r="K62" s="108">
        <v>2.31</v>
      </c>
      <c r="L62" s="12"/>
      <c r="M62" s="145"/>
      <c r="N62" s="108">
        <f>IF(D62="Please select",0,VLOOKUP(D62,Sheet6!B5:E23,4,FALSE))</f>
        <v>0</v>
      </c>
      <c r="O62" s="12"/>
      <c r="P62" s="305">
        <f t="shared" si="1"/>
        <v>0</v>
      </c>
      <c r="Q62" s="305"/>
      <c r="R62" s="84"/>
      <c r="S62" s="113"/>
      <c r="T62" s="115"/>
      <c r="U62" s="115"/>
      <c r="V62" s="91"/>
      <c r="W62" s="91"/>
      <c r="X62" s="91"/>
      <c r="Y62" s="91"/>
      <c r="Z62" s="91"/>
      <c r="AA62" s="91"/>
      <c r="AB62" s="91"/>
      <c r="AC62" s="91"/>
      <c r="AD62" s="91"/>
      <c r="AE62" s="91"/>
      <c r="AF62" s="1"/>
      <c r="AG62" s="1"/>
      <c r="AH62" s="1"/>
      <c r="AI62" s="1"/>
      <c r="AJ62" s="1"/>
      <c r="AK62" s="1"/>
      <c r="AL62" s="1"/>
      <c r="AM62" s="1"/>
      <c r="AN62" s="1"/>
      <c r="AO62" s="1"/>
    </row>
    <row r="63" spans="1:41" customFormat="1" ht="17" customHeight="1" x14ac:dyDescent="0.2">
      <c r="A63" s="1"/>
      <c r="B63" s="91"/>
      <c r="C63" s="2"/>
      <c r="D63" s="318" t="s">
        <v>33</v>
      </c>
      <c r="E63" s="318"/>
      <c r="F63" s="318"/>
      <c r="G63" s="7"/>
      <c r="H63" s="137">
        <v>0</v>
      </c>
      <c r="I63" s="12"/>
      <c r="J63" s="145"/>
      <c r="K63" s="108">
        <v>2.31</v>
      </c>
      <c r="L63" s="12"/>
      <c r="M63" s="145"/>
      <c r="N63" s="108">
        <f>IF(D63="Please select",0,VLOOKUP(D63,Sheet6!B6:E24,4,FALSE))</f>
        <v>0</v>
      </c>
      <c r="O63" s="12"/>
      <c r="P63" s="305">
        <f t="shared" si="1"/>
        <v>0</v>
      </c>
      <c r="Q63" s="305"/>
      <c r="R63" s="84"/>
      <c r="S63" s="113"/>
      <c r="T63" s="115"/>
      <c r="U63" s="115"/>
      <c r="V63" s="91"/>
      <c r="W63" s="91"/>
      <c r="X63" s="91"/>
      <c r="Y63" s="91"/>
      <c r="Z63" s="91"/>
      <c r="AA63" s="91"/>
      <c r="AB63" s="91"/>
      <c r="AC63" s="91"/>
      <c r="AD63" s="91"/>
      <c r="AE63" s="91"/>
      <c r="AF63" s="1"/>
      <c r="AG63" s="1"/>
      <c r="AH63" s="1"/>
      <c r="AI63" s="1"/>
      <c r="AJ63" s="1"/>
      <c r="AK63" s="1"/>
      <c r="AL63" s="1"/>
      <c r="AM63" s="1"/>
      <c r="AN63" s="1"/>
      <c r="AO63" s="1"/>
    </row>
    <row r="64" spans="1:41" customFormat="1" ht="17" customHeight="1" x14ac:dyDescent="0.2">
      <c r="A64" s="1"/>
      <c r="B64" s="91"/>
      <c r="C64" s="2"/>
      <c r="D64" s="318" t="s">
        <v>33</v>
      </c>
      <c r="E64" s="318"/>
      <c r="F64" s="318"/>
      <c r="G64" s="7"/>
      <c r="H64" s="137">
        <v>0</v>
      </c>
      <c r="I64" s="12"/>
      <c r="J64" s="145"/>
      <c r="K64" s="108">
        <v>2.31</v>
      </c>
      <c r="L64" s="12"/>
      <c r="M64" s="145"/>
      <c r="N64" s="108">
        <f>IF(D64="Please select",0,VLOOKUP(D64,Sheet6!B7:E25,4,FALSE))</f>
        <v>0</v>
      </c>
      <c r="O64" s="12"/>
      <c r="P64" s="305">
        <f t="shared" si="1"/>
        <v>0</v>
      </c>
      <c r="Q64" s="305"/>
      <c r="R64" s="84"/>
      <c r="S64" s="113"/>
      <c r="T64" s="115"/>
      <c r="U64" s="115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1"/>
      <c r="AG64" s="1"/>
      <c r="AH64" s="1"/>
      <c r="AI64" s="1"/>
      <c r="AJ64" s="1"/>
      <c r="AK64" s="1"/>
      <c r="AL64" s="1"/>
      <c r="AM64" s="1"/>
      <c r="AN64" s="1"/>
      <c r="AO64" s="1"/>
    </row>
    <row r="65" spans="1:41" customFormat="1" ht="17" customHeight="1" x14ac:dyDescent="0.2">
      <c r="A65" s="1"/>
      <c r="B65" s="91"/>
      <c r="C65" s="2"/>
      <c r="D65" s="318" t="s">
        <v>33</v>
      </c>
      <c r="E65" s="318"/>
      <c r="F65" s="318"/>
      <c r="G65" s="7"/>
      <c r="H65" s="137">
        <v>0</v>
      </c>
      <c r="I65" s="12"/>
      <c r="J65" s="145"/>
      <c r="K65" s="108">
        <v>2.31</v>
      </c>
      <c r="L65" s="12"/>
      <c r="M65" s="145"/>
      <c r="N65" s="108">
        <f>IF(D65="Please select",0,VLOOKUP(D65,Sheet6!B8:E26,4,FALSE))</f>
        <v>0</v>
      </c>
      <c r="O65" s="12"/>
      <c r="P65" s="305">
        <f t="shared" si="1"/>
        <v>0</v>
      </c>
      <c r="Q65" s="305"/>
      <c r="R65" s="84"/>
      <c r="S65" s="113"/>
      <c r="T65" s="115"/>
      <c r="U65" s="115"/>
      <c r="V65" s="91"/>
      <c r="W65" s="91"/>
      <c r="X65" s="91"/>
      <c r="Y65" s="91"/>
      <c r="Z65" s="91"/>
      <c r="AA65" s="91"/>
      <c r="AB65" s="91"/>
      <c r="AC65" s="91"/>
      <c r="AD65" s="91"/>
      <c r="AE65" s="91"/>
      <c r="AF65" s="1"/>
      <c r="AG65" s="1"/>
      <c r="AH65" s="1"/>
      <c r="AI65" s="1"/>
      <c r="AJ65" s="1"/>
      <c r="AK65" s="1"/>
      <c r="AL65" s="1"/>
      <c r="AM65" s="1"/>
      <c r="AN65" s="1"/>
      <c r="AO65" s="1"/>
    </row>
    <row r="66" spans="1:41" customFormat="1" ht="17" customHeight="1" x14ac:dyDescent="0.2">
      <c r="A66" s="1"/>
      <c r="B66" s="91"/>
      <c r="C66" s="2"/>
      <c r="D66" s="318" t="s">
        <v>33</v>
      </c>
      <c r="E66" s="318"/>
      <c r="F66" s="318"/>
      <c r="G66" s="7"/>
      <c r="H66" s="137">
        <v>0</v>
      </c>
      <c r="I66" s="12"/>
      <c r="J66" s="145"/>
      <c r="K66" s="108">
        <v>2.31</v>
      </c>
      <c r="L66" s="12"/>
      <c r="M66" s="145"/>
      <c r="N66" s="108">
        <f>IF(D66="Please select",0,VLOOKUP(D66,Sheet6!B9:E27,4,FALSE))</f>
        <v>0</v>
      </c>
      <c r="O66" s="12"/>
      <c r="P66" s="305">
        <f t="shared" si="1"/>
        <v>0</v>
      </c>
      <c r="Q66" s="305"/>
      <c r="R66" s="84"/>
      <c r="S66" s="113"/>
      <c r="T66" s="115"/>
      <c r="U66" s="115"/>
      <c r="V66" s="91"/>
      <c r="W66" s="91"/>
      <c r="X66" s="91"/>
      <c r="Y66" s="91"/>
      <c r="Z66" s="91"/>
      <c r="AA66" s="91"/>
      <c r="AB66" s="91"/>
      <c r="AC66" s="91"/>
      <c r="AD66" s="91"/>
      <c r="AE66" s="91"/>
      <c r="AF66" s="1"/>
      <c r="AG66" s="1"/>
      <c r="AH66" s="1"/>
      <c r="AI66" s="1"/>
      <c r="AJ66" s="1"/>
      <c r="AK66" s="1"/>
      <c r="AL66" s="1"/>
      <c r="AM66" s="1"/>
      <c r="AN66" s="1"/>
      <c r="AO66" s="1"/>
    </row>
    <row r="67" spans="1:41" customFormat="1" ht="17" customHeight="1" x14ac:dyDescent="0.2">
      <c r="A67" s="1"/>
      <c r="B67" s="91"/>
      <c r="C67" s="2"/>
      <c r="D67" s="318" t="s">
        <v>33</v>
      </c>
      <c r="E67" s="318"/>
      <c r="F67" s="318"/>
      <c r="G67" s="7"/>
      <c r="H67" s="137">
        <v>0</v>
      </c>
      <c r="I67" s="12"/>
      <c r="J67" s="145"/>
      <c r="K67" s="108">
        <v>2.31</v>
      </c>
      <c r="L67" s="12"/>
      <c r="M67" s="145"/>
      <c r="N67" s="108">
        <f>IF(D67="Please select",0,VLOOKUP(D67,Sheet6!B10:E28,4,FALSE))</f>
        <v>0</v>
      </c>
      <c r="O67" s="12"/>
      <c r="P67" s="305">
        <f t="shared" si="1"/>
        <v>0</v>
      </c>
      <c r="Q67" s="305"/>
      <c r="R67" s="84"/>
      <c r="S67" s="113"/>
      <c r="T67" s="115"/>
      <c r="U67" s="115"/>
      <c r="V67" s="91"/>
      <c r="W67" s="91"/>
      <c r="X67" s="91"/>
      <c r="Y67" s="91"/>
      <c r="Z67" s="91"/>
      <c r="AA67" s="91"/>
      <c r="AB67" s="91"/>
      <c r="AC67" s="91"/>
      <c r="AD67" s="91"/>
      <c r="AE67" s="91"/>
      <c r="AF67" s="1"/>
      <c r="AG67" s="1"/>
      <c r="AH67" s="1"/>
      <c r="AI67" s="1"/>
      <c r="AJ67" s="1"/>
      <c r="AK67" s="1"/>
      <c r="AL67" s="1"/>
      <c r="AM67" s="1"/>
      <c r="AN67" s="1"/>
      <c r="AO67" s="1"/>
    </row>
    <row r="68" spans="1:41" customFormat="1" ht="17" customHeight="1" x14ac:dyDescent="0.2">
      <c r="A68" s="1"/>
      <c r="B68" s="91"/>
      <c r="C68" s="2"/>
      <c r="D68" s="318" t="s">
        <v>33</v>
      </c>
      <c r="E68" s="318"/>
      <c r="F68" s="318"/>
      <c r="G68" s="7"/>
      <c r="H68" s="137">
        <v>0</v>
      </c>
      <c r="I68" s="12"/>
      <c r="J68" s="145"/>
      <c r="K68" s="108">
        <v>2.31</v>
      </c>
      <c r="L68" s="12"/>
      <c r="M68" s="145"/>
      <c r="N68" s="108">
        <f>IF(D68="Please select",0,VLOOKUP(D68,Sheet6!B11:E29,4,FALSE))</f>
        <v>0</v>
      </c>
      <c r="O68" s="12"/>
      <c r="P68" s="305">
        <f t="shared" si="1"/>
        <v>0</v>
      </c>
      <c r="Q68" s="305"/>
      <c r="R68" s="84"/>
      <c r="S68" s="113"/>
      <c r="T68" s="115"/>
      <c r="U68" s="115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1"/>
      <c r="AG68" s="1"/>
      <c r="AH68" s="1"/>
      <c r="AI68" s="1"/>
      <c r="AJ68" s="1"/>
      <c r="AK68" s="1"/>
      <c r="AL68" s="1"/>
      <c r="AM68" s="1"/>
      <c r="AN68" s="1"/>
      <c r="AO68" s="1"/>
    </row>
    <row r="69" spans="1:41" customFormat="1" ht="17" customHeight="1" x14ac:dyDescent="0.2">
      <c r="A69" s="1"/>
      <c r="B69" s="91"/>
      <c r="C69" s="2"/>
      <c r="D69" s="318" t="s">
        <v>33</v>
      </c>
      <c r="E69" s="318"/>
      <c r="F69" s="318"/>
      <c r="G69" s="7"/>
      <c r="H69" s="137">
        <v>0</v>
      </c>
      <c r="I69" s="12"/>
      <c r="J69" s="145"/>
      <c r="K69" s="108">
        <v>2.31</v>
      </c>
      <c r="L69" s="12"/>
      <c r="M69" s="145"/>
      <c r="N69" s="108">
        <f>IF(D69="Please select",0,VLOOKUP(D69,Sheet6!B20:E38,4,FALSE))</f>
        <v>0</v>
      </c>
      <c r="O69" s="12"/>
      <c r="P69" s="311">
        <f t="shared" si="1"/>
        <v>0</v>
      </c>
      <c r="Q69" s="311"/>
      <c r="R69" s="84"/>
      <c r="S69" s="113"/>
      <c r="T69" s="115"/>
      <c r="U69" s="115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1"/>
      <c r="AG69" s="1"/>
      <c r="AH69" s="1"/>
      <c r="AI69" s="1"/>
      <c r="AJ69" s="1"/>
      <c r="AK69" s="1"/>
      <c r="AL69" s="1"/>
      <c r="AM69" s="1"/>
      <c r="AN69" s="1"/>
      <c r="AO69" s="1"/>
    </row>
    <row r="70" spans="1:41" customFormat="1" x14ac:dyDescent="0.2">
      <c r="A70" s="1"/>
      <c r="B70" s="91"/>
      <c r="C70" s="2"/>
      <c r="D70" s="5"/>
      <c r="E70" s="6"/>
      <c r="F70" s="6"/>
      <c r="G70" s="7"/>
      <c r="H70" s="7"/>
      <c r="I70" s="7"/>
      <c r="J70" s="7"/>
      <c r="K70" s="7"/>
      <c r="L70" s="2"/>
      <c r="M70" s="2"/>
      <c r="N70" s="2"/>
      <c r="O70" s="3"/>
      <c r="P70" s="305">
        <f>SUM(P60:Q69)</f>
        <v>0</v>
      </c>
      <c r="Q70" s="305"/>
      <c r="R70" s="119"/>
      <c r="S70" s="113"/>
      <c r="T70" s="112"/>
      <c r="U70" s="112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1"/>
      <c r="AG70" s="1"/>
      <c r="AH70" s="1"/>
      <c r="AI70" s="1"/>
      <c r="AJ70" s="1"/>
      <c r="AK70" s="1"/>
      <c r="AL70" s="1"/>
      <c r="AM70" s="1"/>
      <c r="AN70" s="1"/>
      <c r="AO70" s="1"/>
    </row>
    <row r="71" spans="1:41" customFormat="1" x14ac:dyDescent="0.2">
      <c r="A71" s="1"/>
      <c r="B71" s="91"/>
      <c r="C71" s="2"/>
      <c r="D71" s="75"/>
      <c r="E71" s="6"/>
      <c r="F71" s="6"/>
      <c r="G71" s="7"/>
      <c r="H71" s="7"/>
      <c r="I71" s="7"/>
      <c r="J71" s="7"/>
      <c r="K71" s="7"/>
      <c r="L71" s="2"/>
      <c r="M71" s="2"/>
      <c r="N71" s="2"/>
      <c r="O71" s="3"/>
      <c r="P71" s="305"/>
      <c r="Q71" s="305"/>
      <c r="R71" s="119"/>
      <c r="S71" s="113"/>
      <c r="T71" s="112"/>
      <c r="U71" s="112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1"/>
      <c r="AG71" s="1"/>
      <c r="AH71" s="1"/>
      <c r="AI71" s="1"/>
      <c r="AJ71" s="1"/>
      <c r="AK71" s="1"/>
      <c r="AL71" s="1"/>
      <c r="AM71" s="1"/>
      <c r="AN71" s="1"/>
      <c r="AO71" s="1"/>
    </row>
    <row r="72" spans="1:41" customFormat="1" x14ac:dyDescent="0.2">
      <c r="A72" s="1"/>
      <c r="B72" s="91"/>
      <c r="C72" s="2"/>
      <c r="D72" s="75"/>
      <c r="E72" s="6"/>
      <c r="F72" s="6"/>
      <c r="G72" s="7"/>
      <c r="H72" s="7"/>
      <c r="I72" s="7"/>
      <c r="J72" s="7"/>
      <c r="K72" s="7"/>
      <c r="L72" s="2"/>
      <c r="M72" s="2"/>
      <c r="N72" s="2"/>
      <c r="O72" s="3"/>
      <c r="P72" s="3"/>
      <c r="Q72" s="3"/>
      <c r="R72" s="3"/>
      <c r="S72" s="113"/>
      <c r="T72" s="112"/>
      <c r="U72" s="112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1"/>
      <c r="AG72" s="1"/>
      <c r="AH72" s="1"/>
      <c r="AI72" s="1"/>
      <c r="AJ72" s="1"/>
      <c r="AK72" s="1"/>
      <c r="AL72" s="1"/>
      <c r="AM72" s="1"/>
      <c r="AN72" s="1"/>
      <c r="AO72" s="1"/>
    </row>
  </sheetData>
  <sheetProtection algorithmName="SHA-512" hashValue="KSKcWsw9hW0oJG+YnHSn40e078WmCsjdUvKko945bpL1eE0Yhsb2WINm3JSA01oPvoGieSXOa9xteaDPrYuXpw==" saltValue="Kq2j3YIMnff1FqO7dFrkIQ==" spinCount="100000" sheet="1" objects="1" scenarios="1" selectLockedCells="1"/>
  <protectedRanges>
    <protectedRange sqref="D16:F25 H16:H25 J16:J25 M16:M25 P16:P25 S16:S25 V16:W25 D38:H47 J38:K47 M38:M47 D60:F69 H60:H69 J60:J69 M60:M69" name="Range1_Forestry"/>
  </protectedRanges>
  <mergeCells count="94">
    <mergeCell ref="Y26:Y27"/>
    <mergeCell ref="D16:F16"/>
    <mergeCell ref="Y14:Y15"/>
    <mergeCell ref="D65:F65"/>
    <mergeCell ref="D66:F66"/>
    <mergeCell ref="O58:O59"/>
    <mergeCell ref="H58:H59"/>
    <mergeCell ref="J58:K58"/>
    <mergeCell ref="M58:N58"/>
    <mergeCell ref="D14:F15"/>
    <mergeCell ref="H14:H15"/>
    <mergeCell ref="D17:F17"/>
    <mergeCell ref="D18:F18"/>
    <mergeCell ref="D19:F19"/>
    <mergeCell ref="J14:K14"/>
    <mergeCell ref="M14:N14"/>
    <mergeCell ref="D69:F69"/>
    <mergeCell ref="D62:F62"/>
    <mergeCell ref="D61:F61"/>
    <mergeCell ref="D60:F60"/>
    <mergeCell ref="D58:F59"/>
    <mergeCell ref="D63:F63"/>
    <mergeCell ref="D64:F64"/>
    <mergeCell ref="D68:F68"/>
    <mergeCell ref="D67:F67"/>
    <mergeCell ref="O14:O15"/>
    <mergeCell ref="P14:Q14"/>
    <mergeCell ref="R14:R15"/>
    <mergeCell ref="P69:Q69"/>
    <mergeCell ref="P70:Q71"/>
    <mergeCell ref="S14:T14"/>
    <mergeCell ref="U14:U15"/>
    <mergeCell ref="P68:Q68"/>
    <mergeCell ref="P41:Q41"/>
    <mergeCell ref="P42:Q42"/>
    <mergeCell ref="P43:Q43"/>
    <mergeCell ref="P44:Q44"/>
    <mergeCell ref="P45:Q45"/>
    <mergeCell ref="P46:Q46"/>
    <mergeCell ref="P47:Q47"/>
    <mergeCell ref="P58:Q59"/>
    <mergeCell ref="V14:W15"/>
    <mergeCell ref="V16:W16"/>
    <mergeCell ref="V17:W17"/>
    <mergeCell ref="P66:Q66"/>
    <mergeCell ref="P67:Q67"/>
    <mergeCell ref="P60:Q60"/>
    <mergeCell ref="P61:Q61"/>
    <mergeCell ref="P62:Q62"/>
    <mergeCell ref="P63:Q63"/>
    <mergeCell ref="P64:Q64"/>
    <mergeCell ref="P65:Q65"/>
    <mergeCell ref="P48:Q49"/>
    <mergeCell ref="P36:Q37"/>
    <mergeCell ref="P38:Q38"/>
    <mergeCell ref="P39:Q39"/>
    <mergeCell ref="P40:Q40"/>
    <mergeCell ref="D45:H45"/>
    <mergeCell ref="D46:H46"/>
    <mergeCell ref="V24:W24"/>
    <mergeCell ref="V25:W25"/>
    <mergeCell ref="V18:W18"/>
    <mergeCell ref="V19:W19"/>
    <mergeCell ref="V20:W20"/>
    <mergeCell ref="V21:W21"/>
    <mergeCell ref="V22:W22"/>
    <mergeCell ref="V23:W23"/>
    <mergeCell ref="D21:F21"/>
    <mergeCell ref="D22:F22"/>
    <mergeCell ref="D23:F23"/>
    <mergeCell ref="D20:F20"/>
    <mergeCell ref="D24:F24"/>
    <mergeCell ref="D25:F25"/>
    <mergeCell ref="D47:H47"/>
    <mergeCell ref="J36:K37"/>
    <mergeCell ref="J38:K38"/>
    <mergeCell ref="J39:K39"/>
    <mergeCell ref="J40:K40"/>
    <mergeCell ref="J41:K41"/>
    <mergeCell ref="J42:K42"/>
    <mergeCell ref="J43:K43"/>
    <mergeCell ref="D36:H37"/>
    <mergeCell ref="D38:H38"/>
    <mergeCell ref="D39:H39"/>
    <mergeCell ref="D40:H40"/>
    <mergeCell ref="D41:H41"/>
    <mergeCell ref="D42:H42"/>
    <mergeCell ref="D43:H43"/>
    <mergeCell ref="D44:H44"/>
    <mergeCell ref="J44:K44"/>
    <mergeCell ref="J45:K45"/>
    <mergeCell ref="J46:K46"/>
    <mergeCell ref="J47:K47"/>
    <mergeCell ref="M36:N36"/>
  </mergeCells>
  <conditionalFormatting sqref="D14 D26:F28">
    <cfRule type="expression" dxfId="23" priority="36">
      <formula>#REF!="Other"</formula>
    </cfRule>
  </conditionalFormatting>
  <conditionalFormatting sqref="D14 G16:G25 H14">
    <cfRule type="expression" dxfId="22" priority="37">
      <formula>IF(OR(#REF! = "Design", "Implementation", "Completed"), "", "if other, please specify")</formula>
    </cfRule>
  </conditionalFormatting>
  <conditionalFormatting sqref="D36 D48:F50">
    <cfRule type="expression" dxfId="21" priority="8">
      <formula>#REF!="Other"</formula>
    </cfRule>
  </conditionalFormatting>
  <conditionalFormatting sqref="D36">
    <cfRule type="expression" dxfId="20" priority="9">
      <formula>IF(OR(#REF! = "Design", "Implementation", "Completed"), "", "if other, please specify")</formula>
    </cfRule>
  </conditionalFormatting>
  <conditionalFormatting sqref="D58 D70:F72">
    <cfRule type="expression" dxfId="19" priority="46">
      <formula>#REF!="Other"</formula>
    </cfRule>
  </conditionalFormatting>
  <conditionalFormatting sqref="D58 D70:K72 J58 G60:G69 J60:J69 M60:M69 H58 D26:I28">
    <cfRule type="expression" dxfId="18" priority="47">
      <formula>IF(OR(#REF! = "Design", "Implementation", "Completed"), "", "if other, please specify")</formula>
    </cfRule>
  </conditionalFormatting>
  <conditionalFormatting sqref="D48:G50">
    <cfRule type="expression" dxfId="17" priority="10">
      <formula>IF(OR(#REF! = "Design", "Implementation", "Completed"), "", "if other, please specify")</formula>
    </cfRule>
  </conditionalFormatting>
  <conditionalFormatting sqref="G16:G25">
    <cfRule type="expression" dxfId="16" priority="35">
      <formula>#REF!="Other"</formula>
    </cfRule>
  </conditionalFormatting>
  <conditionalFormatting sqref="G48:G50">
    <cfRule type="expression" dxfId="15" priority="7">
      <formula>#REF!="Other"</formula>
    </cfRule>
  </conditionalFormatting>
  <conditionalFormatting sqref="H14">
    <cfRule type="expression" dxfId="14" priority="34">
      <formula>#REF!="Other"</formula>
    </cfRule>
  </conditionalFormatting>
  <conditionalFormatting sqref="H58">
    <cfRule type="expression" dxfId="13" priority="44">
      <formula>#REF!="Other"</formula>
    </cfRule>
  </conditionalFormatting>
  <conditionalFormatting sqref="J14 G26:K28">
    <cfRule type="expression" dxfId="12" priority="22">
      <formula>#REF!="Other"</formula>
    </cfRule>
  </conditionalFormatting>
  <conditionalFormatting sqref="J14 J26:K28">
    <cfRule type="expression" dxfId="11" priority="23">
      <formula>IF(OR(#REF! = "Design", "Implementation", "Completed"), "", "if other, please specify")</formula>
    </cfRule>
  </conditionalFormatting>
  <conditionalFormatting sqref="J14">
    <cfRule type="expression" dxfId="10" priority="21">
      <formula>#REF!="Other"</formula>
    </cfRule>
  </conditionalFormatting>
  <conditionalFormatting sqref="J36">
    <cfRule type="expression" dxfId="9" priority="3">
      <formula>#REF!="Other"</formula>
    </cfRule>
    <cfRule type="expression" dxfId="8" priority="4">
      <formula>IF(OR(#REF! = "Design", "Implementation", "Completed"), "", "if other, please specify")</formula>
    </cfRule>
  </conditionalFormatting>
  <conditionalFormatting sqref="J58 G60:G69 J60:J69 M60:M69 G70:K72">
    <cfRule type="expression" dxfId="7" priority="45">
      <formula>#REF!="Other"</formula>
    </cfRule>
  </conditionalFormatting>
  <conditionalFormatting sqref="J58">
    <cfRule type="expression" dxfId="6" priority="43">
      <formula>#REF!="Other"</formula>
    </cfRule>
  </conditionalFormatting>
  <conditionalFormatting sqref="P36">
    <cfRule type="expression" dxfId="5" priority="1">
      <formula>#REF!="Other"</formula>
    </cfRule>
    <cfRule type="expression" dxfId="4" priority="2">
      <formula>IF(OR(#REF! = "Design", "Implementation", "Completed"), "", "if other, please specify")</formula>
    </cfRule>
  </conditionalFormatting>
  <conditionalFormatting sqref="V14">
    <cfRule type="expression" dxfId="3" priority="13">
      <formula>#REF!="Other"</formula>
    </cfRule>
    <cfRule type="expression" dxfId="2" priority="14">
      <formula>IF(OR(#REF! = "Design", "Implementation", "Completed"), "", "if other, please specify")</formula>
    </cfRule>
  </conditionalFormatting>
  <conditionalFormatting sqref="Y14">
    <cfRule type="expression" dxfId="1" priority="11">
      <formula>#REF!="Other"</formula>
    </cfRule>
    <cfRule type="expression" dxfId="0" priority="12">
      <formula>IF(OR(#REF! = "Design", "Implementation", "Completed"), "", "if other, please specify")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CFF0D11-E39A-4B7A-B11E-CA607B242C44}">
          <x14:formula1>
            <xm:f>Sheet4!$R$6:$R$16</xm:f>
          </x14:formula1>
          <xm:sqref>D16:F25</xm:sqref>
        </x14:dataValidation>
        <x14:dataValidation type="list" allowBlank="1" showInputMessage="1" showErrorMessage="1" xr:uid="{C0321453-47EE-45BE-BDBB-4449D67CE634}">
          <x14:formula1>
            <xm:f>Sheet4!$M$6:$M$24</xm:f>
          </x14:formula1>
          <xm:sqref>D60:F69</xm:sqref>
        </x14:dataValidation>
        <x14:dataValidation type="list" allowBlank="1" showInputMessage="1" showErrorMessage="1" xr:uid="{AE8FBD1C-7C2E-47EE-8D59-70C5E89E75B4}">
          <x14:formula1>
            <xm:f>Sheet4!$S$6:$S$16</xm:f>
          </x14:formula1>
          <xm:sqref>D38:H47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D94-93A8-468D-9A72-DA13BA66C54E}">
  <sheetPr>
    <tabColor theme="6" tint="0.39997558519241921"/>
  </sheetPr>
  <dimension ref="K1:Q46"/>
  <sheetViews>
    <sheetView showGridLines="0" zoomScale="90" zoomScaleNormal="90" workbookViewId="0">
      <selection activeCell="B7" sqref="B7"/>
    </sheetView>
  </sheetViews>
  <sheetFormatPr baseColWidth="10" defaultColWidth="8.83203125" defaultRowHeight="15" x14ac:dyDescent="0.2"/>
  <cols>
    <col min="12" max="12" width="12.6640625" customWidth="1"/>
  </cols>
  <sheetData>
    <row r="1" spans="11:17" s="1" customFormat="1" x14ac:dyDescent="0.2"/>
    <row r="2" spans="11:17" s="1" customFormat="1" x14ac:dyDescent="0.2"/>
    <row r="3" spans="11:17" s="1" customFormat="1" x14ac:dyDescent="0.2"/>
    <row r="4" spans="11:17" s="1" customFormat="1" x14ac:dyDescent="0.2"/>
    <row r="5" spans="11:17" s="1" customFormat="1" x14ac:dyDescent="0.2"/>
    <row r="6" spans="11:17" ht="16" thickBot="1" x14ac:dyDescent="0.25"/>
    <row r="7" spans="11:17" x14ac:dyDescent="0.2">
      <c r="K7" s="336" t="s">
        <v>457</v>
      </c>
      <c r="L7" s="337"/>
      <c r="M7" s="337"/>
      <c r="N7" s="338" t="str">
        <f>Start!G19</f>
        <v>PIREDD Maniema</v>
      </c>
      <c r="O7" s="338"/>
      <c r="P7" s="338"/>
      <c r="Q7" s="339"/>
    </row>
    <row r="8" spans="11:17" x14ac:dyDescent="0.2">
      <c r="K8" s="331"/>
      <c r="L8" s="332"/>
      <c r="M8" s="332"/>
      <c r="N8" s="334"/>
      <c r="O8" s="334"/>
      <c r="P8" s="334"/>
      <c r="Q8" s="335"/>
    </row>
    <row r="9" spans="11:17" x14ac:dyDescent="0.2">
      <c r="K9" s="331" t="s">
        <v>6</v>
      </c>
      <c r="L9" s="332"/>
      <c r="M9" s="332"/>
      <c r="N9" s="334" t="str">
        <f>Start!G23</f>
        <v>Enabel</v>
      </c>
      <c r="O9" s="334"/>
      <c r="P9" s="334"/>
      <c r="Q9" s="335"/>
    </row>
    <row r="10" spans="11:17" x14ac:dyDescent="0.2">
      <c r="K10" s="331"/>
      <c r="L10" s="332"/>
      <c r="M10" s="332"/>
      <c r="N10" s="334"/>
      <c r="O10" s="334"/>
      <c r="P10" s="334"/>
      <c r="Q10" s="335"/>
    </row>
    <row r="11" spans="11:17" x14ac:dyDescent="0.2">
      <c r="K11" s="331" t="s">
        <v>5</v>
      </c>
      <c r="L11" s="332"/>
      <c r="M11" s="332"/>
      <c r="N11" s="334" t="str">
        <f>Start!G22</f>
        <v>CAFI</v>
      </c>
      <c r="O11" s="334"/>
      <c r="P11" s="334"/>
      <c r="Q11" s="335"/>
    </row>
    <row r="12" spans="11:17" x14ac:dyDescent="0.2">
      <c r="K12" s="331"/>
      <c r="L12" s="332"/>
      <c r="M12" s="332"/>
      <c r="N12" s="334"/>
      <c r="O12" s="334"/>
      <c r="P12" s="334"/>
      <c r="Q12" s="335"/>
    </row>
    <row r="13" spans="11:17" x14ac:dyDescent="0.2">
      <c r="K13" s="331" t="s">
        <v>9</v>
      </c>
      <c r="L13" s="332"/>
      <c r="M13" s="332"/>
      <c r="N13" s="334" t="str">
        <f>Start!T17</f>
        <v>DRC</v>
      </c>
      <c r="O13" s="334"/>
      <c r="P13" s="334"/>
      <c r="Q13" s="335"/>
    </row>
    <row r="14" spans="11:17" x14ac:dyDescent="0.2">
      <c r="K14" s="331"/>
      <c r="L14" s="332"/>
      <c r="M14" s="332"/>
      <c r="N14" s="334"/>
      <c r="O14" s="334"/>
      <c r="P14" s="334"/>
      <c r="Q14" s="335"/>
    </row>
    <row r="15" spans="11:17" x14ac:dyDescent="0.2">
      <c r="K15" s="331" t="s">
        <v>4</v>
      </c>
      <c r="L15" s="332"/>
      <c r="M15" s="332"/>
      <c r="N15" s="333">
        <f>Start!G21</f>
        <v>30000000</v>
      </c>
      <c r="O15" s="334"/>
      <c r="P15" s="334"/>
      <c r="Q15" s="335"/>
    </row>
    <row r="16" spans="11:17" x14ac:dyDescent="0.2">
      <c r="K16" s="331"/>
      <c r="L16" s="332"/>
      <c r="M16" s="332"/>
      <c r="N16" s="334"/>
      <c r="O16" s="334"/>
      <c r="P16" s="334"/>
      <c r="Q16" s="335"/>
    </row>
    <row r="17" spans="11:17" x14ac:dyDescent="0.2">
      <c r="K17" s="331" t="s">
        <v>459</v>
      </c>
      <c r="L17" s="332"/>
      <c r="M17" s="332"/>
      <c r="N17" s="333" t="str">
        <f>IF(Start!W21="","",IF(Start!W21&gt;1,CONCATENATE(Start!W21," years"),CONCATENATE(Start!W21," year")))</f>
        <v>5 years</v>
      </c>
      <c r="O17" s="334"/>
      <c r="P17" s="334"/>
      <c r="Q17" s="335"/>
    </row>
    <row r="18" spans="11:17" ht="16" thickBot="1" x14ac:dyDescent="0.25">
      <c r="K18" s="346"/>
      <c r="L18" s="347"/>
      <c r="M18" s="347"/>
      <c r="N18" s="348"/>
      <c r="O18" s="348"/>
      <c r="P18" s="348"/>
      <c r="Q18" s="349"/>
    </row>
    <row r="19" spans="11:17" x14ac:dyDescent="0.2">
      <c r="K19" s="123"/>
      <c r="Q19" s="124"/>
    </row>
    <row r="20" spans="11:17" x14ac:dyDescent="0.2">
      <c r="K20" s="123"/>
      <c r="Q20" s="124"/>
    </row>
    <row r="21" spans="11:17" x14ac:dyDescent="0.2">
      <c r="K21" s="350" t="s">
        <v>460</v>
      </c>
      <c r="L21" s="351"/>
      <c r="M21" s="351"/>
      <c r="N21" s="351"/>
      <c r="O21" s="351"/>
      <c r="P21" s="351"/>
      <c r="Q21" s="352"/>
    </row>
    <row r="22" spans="11:17" x14ac:dyDescent="0.2">
      <c r="K22" s="350"/>
      <c r="L22" s="351"/>
      <c r="M22" s="351"/>
      <c r="N22" s="351"/>
      <c r="O22" s="351"/>
      <c r="P22" s="351"/>
      <c r="Q22" s="352"/>
    </row>
    <row r="23" spans="11:17" x14ac:dyDescent="0.2">
      <c r="K23" s="350"/>
      <c r="L23" s="351"/>
      <c r="M23" s="351"/>
      <c r="N23" s="351"/>
      <c r="O23" s="351"/>
      <c r="P23" s="351"/>
      <c r="Q23" s="352"/>
    </row>
    <row r="24" spans="11:17" x14ac:dyDescent="0.2">
      <c r="K24" s="123"/>
      <c r="Q24" s="124"/>
    </row>
    <row r="25" spans="11:17" ht="14.5" customHeight="1" x14ac:dyDescent="0.2">
      <c r="K25" s="123"/>
      <c r="L25" s="131"/>
      <c r="M25" s="131"/>
      <c r="N25" s="131"/>
      <c r="O25" s="131"/>
      <c r="P25" s="131"/>
      <c r="Q25" s="124"/>
    </row>
    <row r="26" spans="11:17" ht="14.5" customHeight="1" x14ac:dyDescent="0.2">
      <c r="K26" s="123"/>
      <c r="L26" s="131"/>
      <c r="M26" s="131"/>
      <c r="N26" s="131"/>
      <c r="O26" s="131"/>
      <c r="P26" s="131"/>
      <c r="Q26" s="124"/>
    </row>
    <row r="27" spans="11:17" ht="14.5" customHeight="1" x14ac:dyDescent="0.2">
      <c r="K27" s="123"/>
      <c r="L27" s="131"/>
      <c r="M27" s="131"/>
      <c r="N27" s="131"/>
      <c r="O27" s="131"/>
      <c r="P27" s="131"/>
      <c r="Q27" s="124"/>
    </row>
    <row r="28" spans="11:17" ht="14.5" customHeight="1" x14ac:dyDescent="0.2">
      <c r="K28" s="123"/>
      <c r="L28" s="353">
        <f>SUM('1.Energy'!AC22:AD23,'1.Energy'!Z40:AB41,'1.Energy'!AB58:AC59,'1.Energy'!U76:W77,'2.Afforestation &amp; Reforestation'!Z22:AB23,'2.Afforestation &amp; Reforestation'!Z40:AB41,'2.Afforestation &amp; Reforestation'!Z58:AB59,'3.Agriculture'!AD22:AE23,'3.Agriculture'!AD40:AE41,'3.Agriculture'!AD58:AE59,'4.Forestry &amp; Conservation'!Y26:Y27,'4.Forestry &amp; Conservation'!P48:Q49,'4.Forestry &amp; Conservation'!P70:Q71)</f>
        <v>0</v>
      </c>
      <c r="M28" s="353"/>
      <c r="N28" s="353"/>
      <c r="O28" s="353"/>
      <c r="P28" s="353"/>
      <c r="Q28" s="124"/>
    </row>
    <row r="29" spans="11:17" ht="14.5" customHeight="1" x14ac:dyDescent="0.2">
      <c r="K29" s="123"/>
      <c r="L29" s="353"/>
      <c r="M29" s="353"/>
      <c r="N29" s="353"/>
      <c r="O29" s="353"/>
      <c r="P29" s="353"/>
      <c r="Q29" s="124"/>
    </row>
    <row r="30" spans="11:17" ht="14.5" customHeight="1" x14ac:dyDescent="0.2">
      <c r="K30" s="123"/>
      <c r="L30" s="353"/>
      <c r="M30" s="353"/>
      <c r="N30" s="353"/>
      <c r="O30" s="353"/>
      <c r="P30" s="353"/>
      <c r="Q30" s="124"/>
    </row>
    <row r="31" spans="11:17" ht="14.5" customHeight="1" x14ac:dyDescent="0.2">
      <c r="K31" s="123"/>
      <c r="L31" s="353"/>
      <c r="M31" s="353"/>
      <c r="N31" s="353"/>
      <c r="O31" s="353"/>
      <c r="P31" s="353"/>
      <c r="Q31" s="124"/>
    </row>
    <row r="32" spans="11:17" ht="14.5" customHeight="1" x14ac:dyDescent="0.2">
      <c r="K32" s="123"/>
      <c r="L32" s="353"/>
      <c r="M32" s="353"/>
      <c r="N32" s="353"/>
      <c r="O32" s="353"/>
      <c r="P32" s="353"/>
      <c r="Q32" s="124"/>
    </row>
    <row r="33" spans="11:17" ht="14.5" customHeight="1" x14ac:dyDescent="0.2">
      <c r="K33" s="123"/>
      <c r="L33" s="353"/>
      <c r="M33" s="353"/>
      <c r="N33" s="353"/>
      <c r="O33" s="353"/>
      <c r="P33" s="353"/>
      <c r="Q33" s="124"/>
    </row>
    <row r="34" spans="11:17" ht="14.5" customHeight="1" x14ac:dyDescent="0.2">
      <c r="K34" s="123"/>
      <c r="L34" s="353"/>
      <c r="M34" s="353"/>
      <c r="N34" s="353"/>
      <c r="O34" s="353"/>
      <c r="P34" s="353"/>
      <c r="Q34" s="124"/>
    </row>
    <row r="35" spans="11:17" ht="14.5" customHeight="1" x14ac:dyDescent="0.2">
      <c r="K35" s="123"/>
      <c r="L35" s="354" t="s">
        <v>462</v>
      </c>
      <c r="M35" s="354"/>
      <c r="N35" s="354"/>
      <c r="O35" s="354"/>
      <c r="P35" s="354"/>
      <c r="Q35" s="124"/>
    </row>
    <row r="36" spans="11:17" ht="14.5" customHeight="1" x14ac:dyDescent="0.2">
      <c r="K36" s="123"/>
      <c r="L36" s="354"/>
      <c r="M36" s="354"/>
      <c r="N36" s="354"/>
      <c r="O36" s="354"/>
      <c r="P36" s="354"/>
      <c r="Q36" s="124"/>
    </row>
    <row r="37" spans="11:17" ht="14.5" customHeight="1" x14ac:dyDescent="0.2">
      <c r="K37" s="123"/>
      <c r="L37" s="354"/>
      <c r="M37" s="354"/>
      <c r="N37" s="354"/>
      <c r="O37" s="354"/>
      <c r="P37" s="354"/>
      <c r="Q37" s="124"/>
    </row>
    <row r="38" spans="11:17" ht="14.5" customHeight="1" x14ac:dyDescent="0.2">
      <c r="K38" s="123"/>
      <c r="L38" s="354"/>
      <c r="M38" s="354"/>
      <c r="N38" s="354"/>
      <c r="O38" s="354"/>
      <c r="P38" s="354"/>
      <c r="Q38" s="124"/>
    </row>
    <row r="39" spans="11:17" x14ac:dyDescent="0.2">
      <c r="K39" s="123"/>
      <c r="Q39" s="124"/>
    </row>
    <row r="40" spans="11:17" x14ac:dyDescent="0.2">
      <c r="K40" s="123"/>
      <c r="Q40" s="124"/>
    </row>
    <row r="41" spans="11:17" x14ac:dyDescent="0.2">
      <c r="K41" s="123"/>
      <c r="Q41" s="124"/>
    </row>
    <row r="42" spans="11:17" x14ac:dyDescent="0.2">
      <c r="K42" s="125"/>
      <c r="L42" s="126"/>
      <c r="M42" s="126"/>
      <c r="N42" s="126"/>
      <c r="O42" s="126"/>
      <c r="P42" s="126"/>
      <c r="Q42" s="127"/>
    </row>
    <row r="43" spans="11:17" ht="16" x14ac:dyDescent="0.2">
      <c r="K43" s="340" t="str">
        <f>CONCATENATE("Report generated by ",Start!G17)</f>
        <v>Report generated by Chadrack Kafuti</v>
      </c>
      <c r="L43" s="341"/>
      <c r="M43" s="341"/>
      <c r="N43" s="341"/>
      <c r="O43" s="341"/>
      <c r="P43" s="341"/>
      <c r="Q43" s="342"/>
    </row>
    <row r="44" spans="11:17" x14ac:dyDescent="0.2">
      <c r="K44" s="343">
        <f ca="1">Start!G18</f>
        <v>46030</v>
      </c>
      <c r="L44" s="344"/>
      <c r="M44" s="344"/>
      <c r="N44" s="344"/>
      <c r="O44" s="344"/>
      <c r="P44" s="344"/>
      <c r="Q44" s="345"/>
    </row>
    <row r="45" spans="11:17" x14ac:dyDescent="0.2">
      <c r="K45" s="125"/>
      <c r="L45" s="126"/>
      <c r="M45" s="126"/>
      <c r="N45" s="126"/>
      <c r="O45" s="126"/>
      <c r="P45" s="126"/>
      <c r="Q45" s="127"/>
    </row>
    <row r="46" spans="11:17" ht="16" thickBot="1" x14ac:dyDescent="0.25">
      <c r="K46" s="128"/>
      <c r="L46" s="129"/>
      <c r="M46" s="129"/>
      <c r="N46" s="129"/>
      <c r="O46" s="129"/>
      <c r="P46" s="129"/>
      <c r="Q46" s="130"/>
    </row>
  </sheetData>
  <mergeCells count="17">
    <mergeCell ref="K43:Q43"/>
    <mergeCell ref="K44:Q44"/>
    <mergeCell ref="K17:M18"/>
    <mergeCell ref="N17:Q18"/>
    <mergeCell ref="K21:Q23"/>
    <mergeCell ref="L28:P34"/>
    <mergeCell ref="L35:P38"/>
    <mergeCell ref="K15:M16"/>
    <mergeCell ref="N15:Q16"/>
    <mergeCell ref="K7:M8"/>
    <mergeCell ref="K9:M10"/>
    <mergeCell ref="K11:M12"/>
    <mergeCell ref="K13:M14"/>
    <mergeCell ref="N7:Q8"/>
    <mergeCell ref="N9:Q10"/>
    <mergeCell ref="N11:Q12"/>
    <mergeCell ref="N13:Q14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5D1D5-0C5E-4473-98B0-827954B4863E}">
  <dimension ref="A3:AC24"/>
  <sheetViews>
    <sheetView topLeftCell="J19" workbookViewId="0">
      <selection activeCell="W7" sqref="W7:W9"/>
    </sheetView>
  </sheetViews>
  <sheetFormatPr baseColWidth="10" defaultColWidth="8.83203125" defaultRowHeight="15" x14ac:dyDescent="0.2"/>
  <cols>
    <col min="1" max="1" width="12.6640625" bestFit="1" customWidth="1"/>
    <col min="2" max="2" width="16.33203125" bestFit="1" customWidth="1"/>
    <col min="3" max="3" width="12.6640625" bestFit="1" customWidth="1"/>
    <col min="4" max="5" width="12.6640625" customWidth="1"/>
    <col min="6" max="6" width="19.1640625" bestFit="1" customWidth="1"/>
    <col min="7" max="7" width="21.1640625" bestFit="1" customWidth="1"/>
    <col min="8" max="10" width="21.1640625" customWidth="1"/>
    <col min="11" max="12" width="12.6640625" bestFit="1" customWidth="1"/>
    <col min="13" max="13" width="18" bestFit="1" customWidth="1"/>
    <col min="14" max="14" width="17.83203125" bestFit="1" customWidth="1"/>
    <col min="15" max="15" width="21.1640625" customWidth="1"/>
    <col min="16" max="16" width="12.6640625" bestFit="1" customWidth="1"/>
    <col min="17" max="17" width="15.5" bestFit="1" customWidth="1"/>
    <col min="18" max="18" width="15.5" customWidth="1"/>
    <col min="19" max="19" width="16.83203125" bestFit="1" customWidth="1"/>
    <col min="20" max="21" width="16.83203125" customWidth="1"/>
    <col min="22" max="22" width="23.33203125" bestFit="1" customWidth="1"/>
    <col min="23" max="23" width="19.6640625" bestFit="1" customWidth="1"/>
  </cols>
  <sheetData>
    <row r="3" spans="1:29" x14ac:dyDescent="0.2">
      <c r="X3" t="s">
        <v>26</v>
      </c>
      <c r="Y3" t="s">
        <v>27</v>
      </c>
      <c r="Z3" t="s">
        <v>28</v>
      </c>
      <c r="AA3" t="s">
        <v>29</v>
      </c>
      <c r="AB3" t="s">
        <v>30</v>
      </c>
      <c r="AC3" t="s">
        <v>31</v>
      </c>
    </row>
    <row r="5" spans="1:29" x14ac:dyDescent="0.2">
      <c r="A5" t="s">
        <v>32</v>
      </c>
      <c r="B5" t="s">
        <v>35</v>
      </c>
      <c r="C5" t="s">
        <v>38</v>
      </c>
      <c r="D5" t="s">
        <v>44</v>
      </c>
      <c r="E5" t="s">
        <v>54</v>
      </c>
      <c r="F5" t="s">
        <v>59</v>
      </c>
      <c r="G5" t="s">
        <v>106</v>
      </c>
      <c r="H5" t="s">
        <v>110</v>
      </c>
      <c r="I5" t="s">
        <v>128</v>
      </c>
      <c r="J5" t="s">
        <v>134</v>
      </c>
      <c r="K5" t="s">
        <v>130</v>
      </c>
      <c r="L5" t="s">
        <v>179</v>
      </c>
      <c r="M5" t="s">
        <v>193</v>
      </c>
      <c r="N5" t="s">
        <v>201</v>
      </c>
      <c r="O5" t="s">
        <v>243</v>
      </c>
      <c r="P5" t="s">
        <v>350</v>
      </c>
      <c r="Q5" t="s">
        <v>353</v>
      </c>
      <c r="R5" t="s">
        <v>375</v>
      </c>
      <c r="S5" t="s">
        <v>401</v>
      </c>
      <c r="T5" t="s">
        <v>422</v>
      </c>
      <c r="U5" t="s">
        <v>425</v>
      </c>
      <c r="V5" t="s">
        <v>430</v>
      </c>
      <c r="W5" t="s">
        <v>435</v>
      </c>
    </row>
    <row r="6" spans="1:29" x14ac:dyDescent="0.2">
      <c r="A6" s="10" t="s">
        <v>33</v>
      </c>
      <c r="B6" s="10" t="s">
        <v>33</v>
      </c>
      <c r="C6" s="10" t="s">
        <v>33</v>
      </c>
      <c r="D6" s="10" t="s">
        <v>33</v>
      </c>
      <c r="E6" s="10" t="s">
        <v>33</v>
      </c>
      <c r="F6" s="10" t="s">
        <v>33</v>
      </c>
      <c r="G6" s="10" t="s">
        <v>33</v>
      </c>
      <c r="H6" s="10" t="s">
        <v>33</v>
      </c>
      <c r="I6" s="10" t="s">
        <v>33</v>
      </c>
      <c r="J6" s="10" t="s">
        <v>33</v>
      </c>
      <c r="K6" s="10" t="s">
        <v>33</v>
      </c>
      <c r="L6" s="10" t="s">
        <v>33</v>
      </c>
      <c r="M6" s="10" t="s">
        <v>33</v>
      </c>
      <c r="N6" s="10" t="s">
        <v>33</v>
      </c>
      <c r="O6" s="10" t="s">
        <v>33</v>
      </c>
      <c r="P6" s="10" t="s">
        <v>33</v>
      </c>
      <c r="Q6" s="10" t="s">
        <v>33</v>
      </c>
      <c r="R6" s="10" t="s">
        <v>33</v>
      </c>
      <c r="S6" s="10" t="s">
        <v>33</v>
      </c>
      <c r="T6" s="10" t="s">
        <v>33</v>
      </c>
      <c r="U6" s="10" t="s">
        <v>33</v>
      </c>
      <c r="V6" s="10" t="s">
        <v>33</v>
      </c>
      <c r="W6" s="10" t="s">
        <v>33</v>
      </c>
    </row>
    <row r="7" spans="1:29" x14ac:dyDescent="0.2">
      <c r="A7" t="s">
        <v>26</v>
      </c>
      <c r="B7" t="s">
        <v>36</v>
      </c>
      <c r="C7" t="s">
        <v>39</v>
      </c>
      <c r="D7" t="s">
        <v>45</v>
      </c>
      <c r="E7" t="s">
        <v>87</v>
      </c>
      <c r="F7" t="s">
        <v>60</v>
      </c>
      <c r="G7" t="s">
        <v>107</v>
      </c>
      <c r="H7" t="s">
        <v>111</v>
      </c>
      <c r="I7" t="s">
        <v>134</v>
      </c>
      <c r="J7" t="s">
        <v>127</v>
      </c>
      <c r="K7" t="s">
        <v>133</v>
      </c>
      <c r="L7" t="s">
        <v>180</v>
      </c>
      <c r="M7" s="49" t="s">
        <v>217</v>
      </c>
      <c r="N7" s="49" t="s">
        <v>202</v>
      </c>
      <c r="O7" t="s">
        <v>244</v>
      </c>
      <c r="P7" t="s">
        <v>351</v>
      </c>
      <c r="Q7" t="s">
        <v>199</v>
      </c>
      <c r="R7" t="s">
        <v>376</v>
      </c>
      <c r="S7" t="s">
        <v>407</v>
      </c>
      <c r="T7" s="49" t="s">
        <v>202</v>
      </c>
      <c r="U7" s="49" t="s">
        <v>427</v>
      </c>
      <c r="V7" s="49" t="s">
        <v>431</v>
      </c>
      <c r="W7" s="49" t="s">
        <v>436</v>
      </c>
    </row>
    <row r="8" spans="1:29" x14ac:dyDescent="0.2">
      <c r="A8" t="s">
        <v>27</v>
      </c>
      <c r="B8" t="s">
        <v>37</v>
      </c>
      <c r="C8" t="s">
        <v>40</v>
      </c>
      <c r="D8" t="s">
        <v>46</v>
      </c>
      <c r="E8" t="s">
        <v>57</v>
      </c>
      <c r="F8" t="s">
        <v>61</v>
      </c>
      <c r="G8" t="s">
        <v>122</v>
      </c>
      <c r="H8" t="s">
        <v>112</v>
      </c>
      <c r="I8" t="s">
        <v>130</v>
      </c>
      <c r="J8" t="s">
        <v>131</v>
      </c>
      <c r="K8" t="s">
        <v>147</v>
      </c>
      <c r="L8" t="s">
        <v>181</v>
      </c>
      <c r="M8" s="49" t="s">
        <v>218</v>
      </c>
      <c r="N8" s="49" t="s">
        <v>203</v>
      </c>
      <c r="O8" s="49" t="s">
        <v>245</v>
      </c>
      <c r="P8" s="49" t="s">
        <v>352</v>
      </c>
      <c r="Q8" s="49" t="s">
        <v>194</v>
      </c>
      <c r="R8" t="s">
        <v>377</v>
      </c>
      <c r="S8" t="s">
        <v>408</v>
      </c>
      <c r="T8" s="49" t="s">
        <v>203</v>
      </c>
      <c r="U8" s="49" t="s">
        <v>428</v>
      </c>
      <c r="V8" s="49" t="s">
        <v>432</v>
      </c>
      <c r="W8" s="49" t="s">
        <v>437</v>
      </c>
    </row>
    <row r="9" spans="1:29" x14ac:dyDescent="0.2">
      <c r="A9" t="s">
        <v>28</v>
      </c>
      <c r="C9" t="s">
        <v>41</v>
      </c>
      <c r="D9" t="s">
        <v>47</v>
      </c>
      <c r="E9" t="s">
        <v>80</v>
      </c>
      <c r="F9" t="s">
        <v>68</v>
      </c>
      <c r="H9" t="s">
        <v>113</v>
      </c>
      <c r="J9" t="s">
        <v>149</v>
      </c>
      <c r="K9" t="s">
        <v>148</v>
      </c>
      <c r="L9" t="s">
        <v>182</v>
      </c>
      <c r="M9" s="49" t="s">
        <v>219</v>
      </c>
      <c r="N9" s="49" t="s">
        <v>204</v>
      </c>
      <c r="O9" s="49" t="s">
        <v>246</v>
      </c>
      <c r="P9" s="49"/>
      <c r="Q9" s="49" t="s">
        <v>354</v>
      </c>
      <c r="R9" t="s">
        <v>378</v>
      </c>
      <c r="S9" t="s">
        <v>416</v>
      </c>
      <c r="T9" s="49" t="s">
        <v>204</v>
      </c>
      <c r="U9" s="49" t="s">
        <v>429</v>
      </c>
      <c r="V9" s="49" t="s">
        <v>433</v>
      </c>
      <c r="W9" s="49" t="s">
        <v>438</v>
      </c>
    </row>
    <row r="10" spans="1:29" x14ac:dyDescent="0.2">
      <c r="A10" t="s">
        <v>29</v>
      </c>
      <c r="D10" t="s">
        <v>48</v>
      </c>
      <c r="F10" t="s">
        <v>62</v>
      </c>
      <c r="H10" t="s">
        <v>114</v>
      </c>
      <c r="J10" t="s">
        <v>126</v>
      </c>
      <c r="K10" t="s">
        <v>80</v>
      </c>
      <c r="L10" t="s">
        <v>183</v>
      </c>
      <c r="M10" s="49" t="s">
        <v>220</v>
      </c>
      <c r="N10" s="49" t="s">
        <v>206</v>
      </c>
      <c r="O10" t="s">
        <v>247</v>
      </c>
      <c r="Q10" s="49" t="s">
        <v>202</v>
      </c>
      <c r="R10" t="s">
        <v>379</v>
      </c>
      <c r="S10" t="s">
        <v>410</v>
      </c>
      <c r="T10" s="49" t="s">
        <v>206</v>
      </c>
      <c r="U10" s="49"/>
      <c r="V10" s="49" t="s">
        <v>434</v>
      </c>
      <c r="W10" s="49"/>
    </row>
    <row r="11" spans="1:29" x14ac:dyDescent="0.2">
      <c r="A11" t="s">
        <v>30</v>
      </c>
      <c r="D11" t="s">
        <v>49</v>
      </c>
      <c r="F11" t="s">
        <v>80</v>
      </c>
      <c r="J11" t="s">
        <v>150</v>
      </c>
      <c r="L11" t="s">
        <v>184</v>
      </c>
      <c r="M11" s="49" t="s">
        <v>221</v>
      </c>
      <c r="N11" s="49" t="s">
        <v>207</v>
      </c>
      <c r="Q11" s="49" t="s">
        <v>203</v>
      </c>
      <c r="R11" t="s">
        <v>380</v>
      </c>
      <c r="S11" t="s">
        <v>411</v>
      </c>
      <c r="T11" s="49" t="s">
        <v>207</v>
      </c>
      <c r="U11" s="49"/>
      <c r="V11" s="49"/>
      <c r="W11" s="49"/>
    </row>
    <row r="12" spans="1:29" x14ac:dyDescent="0.2">
      <c r="A12" t="s">
        <v>31</v>
      </c>
      <c r="D12" t="s">
        <v>50</v>
      </c>
      <c r="J12" t="s">
        <v>80</v>
      </c>
      <c r="M12" s="49" t="s">
        <v>222</v>
      </c>
      <c r="N12" s="49" t="s">
        <v>209</v>
      </c>
      <c r="O12" s="49"/>
      <c r="P12" s="49"/>
      <c r="Q12" s="49" t="s">
        <v>204</v>
      </c>
      <c r="R12" t="s">
        <v>381</v>
      </c>
      <c r="S12" t="s">
        <v>417</v>
      </c>
      <c r="T12" s="49" t="s">
        <v>209</v>
      </c>
      <c r="U12" s="49"/>
      <c r="V12" s="49"/>
      <c r="W12" s="49"/>
    </row>
    <row r="13" spans="1:29" x14ac:dyDescent="0.2">
      <c r="M13" s="49" t="s">
        <v>223</v>
      </c>
      <c r="N13" s="49" t="s">
        <v>210</v>
      </c>
      <c r="O13" s="49"/>
      <c r="P13" s="49"/>
      <c r="Q13" s="49" t="s">
        <v>206</v>
      </c>
      <c r="R13" t="s">
        <v>382</v>
      </c>
      <c r="S13" t="s">
        <v>418</v>
      </c>
      <c r="T13" s="49" t="s">
        <v>210</v>
      </c>
      <c r="U13" s="49"/>
      <c r="V13" s="49"/>
      <c r="W13" s="49"/>
    </row>
    <row r="14" spans="1:29" x14ac:dyDescent="0.2">
      <c r="M14" s="49" t="s">
        <v>224</v>
      </c>
      <c r="N14" s="49" t="s">
        <v>211</v>
      </c>
      <c r="O14" s="49"/>
      <c r="P14" s="49"/>
      <c r="Q14" s="49" t="s">
        <v>207</v>
      </c>
      <c r="R14" t="s">
        <v>383</v>
      </c>
      <c r="S14" t="s">
        <v>419</v>
      </c>
      <c r="T14" s="49" t="s">
        <v>211</v>
      </c>
      <c r="U14" s="49"/>
      <c r="V14" s="49"/>
      <c r="W14" s="49"/>
    </row>
    <row r="15" spans="1:29" x14ac:dyDescent="0.2">
      <c r="M15" s="49" t="s">
        <v>225</v>
      </c>
      <c r="Q15" s="49" t="s">
        <v>209</v>
      </c>
      <c r="R15" t="s">
        <v>384</v>
      </c>
      <c r="S15" t="s">
        <v>420</v>
      </c>
      <c r="T15" s="49" t="s">
        <v>205</v>
      </c>
      <c r="U15" s="49"/>
      <c r="V15" s="49"/>
      <c r="W15" s="49"/>
    </row>
    <row r="16" spans="1:29" x14ac:dyDescent="0.2">
      <c r="M16" s="49" t="s">
        <v>226</v>
      </c>
      <c r="Q16" s="49" t="s">
        <v>210</v>
      </c>
      <c r="R16" t="s">
        <v>385</v>
      </c>
      <c r="S16" t="s">
        <v>421</v>
      </c>
      <c r="T16" s="49" t="s">
        <v>208</v>
      </c>
      <c r="U16" s="49"/>
      <c r="V16" s="49"/>
      <c r="W16" s="49"/>
    </row>
    <row r="17" spans="13:23" x14ac:dyDescent="0.2">
      <c r="M17" s="49" t="s">
        <v>227</v>
      </c>
      <c r="N17" s="49"/>
      <c r="O17" s="49"/>
      <c r="P17" s="49"/>
      <c r="Q17" s="49" t="s">
        <v>211</v>
      </c>
      <c r="R17" s="49"/>
      <c r="S17" s="49"/>
      <c r="T17" s="49" t="s">
        <v>212</v>
      </c>
      <c r="U17" s="49"/>
      <c r="V17" s="49"/>
      <c r="W17" s="49"/>
    </row>
    <row r="18" spans="13:23" x14ac:dyDescent="0.2">
      <c r="M18" s="49" t="s">
        <v>228</v>
      </c>
      <c r="N18" s="49"/>
      <c r="O18" s="49"/>
      <c r="P18" s="49"/>
      <c r="Q18" s="49"/>
      <c r="R18" s="49"/>
      <c r="S18" s="49"/>
      <c r="T18" s="49"/>
      <c r="U18" s="49"/>
      <c r="V18" s="49"/>
      <c r="W18" s="49"/>
    </row>
    <row r="19" spans="13:23" x14ac:dyDescent="0.2">
      <c r="M19" s="49" t="s">
        <v>229</v>
      </c>
      <c r="N19" s="49"/>
      <c r="O19" s="49"/>
      <c r="P19" s="49"/>
      <c r="Q19" s="49"/>
      <c r="R19" s="49"/>
      <c r="S19" s="49"/>
      <c r="T19" s="49"/>
      <c r="U19" s="49"/>
      <c r="V19" s="49"/>
      <c r="W19" s="49"/>
    </row>
    <row r="20" spans="13:23" x14ac:dyDescent="0.2">
      <c r="M20" s="49" t="s">
        <v>230</v>
      </c>
      <c r="N20" s="49"/>
      <c r="O20" s="49"/>
      <c r="P20" s="49"/>
      <c r="Q20" s="49"/>
      <c r="R20" s="49"/>
      <c r="S20" s="49"/>
      <c r="T20" s="49"/>
      <c r="U20" s="49"/>
      <c r="V20" s="49"/>
      <c r="W20" s="49"/>
    </row>
    <row r="21" spans="13:23" x14ac:dyDescent="0.2">
      <c r="M21" s="49" t="s">
        <v>194</v>
      </c>
      <c r="N21" s="49"/>
      <c r="O21" s="49"/>
      <c r="P21" s="49"/>
      <c r="Q21" s="49"/>
      <c r="R21" s="49"/>
      <c r="S21" s="49"/>
      <c r="T21" s="49"/>
      <c r="U21" s="49"/>
      <c r="V21" s="49"/>
      <c r="W21" s="49"/>
    </row>
    <row r="22" spans="13:23" x14ac:dyDescent="0.2">
      <c r="M22" s="49" t="s">
        <v>231</v>
      </c>
      <c r="N22" s="49"/>
      <c r="O22" s="49"/>
      <c r="P22" s="49"/>
      <c r="Q22" s="49"/>
      <c r="R22" s="49"/>
      <c r="S22" s="49"/>
      <c r="T22" s="49"/>
      <c r="U22" s="49"/>
      <c r="V22" s="49"/>
      <c r="W22" s="49"/>
    </row>
    <row r="23" spans="13:23" x14ac:dyDescent="0.2">
      <c r="M23" s="49" t="s">
        <v>195</v>
      </c>
      <c r="N23" s="49"/>
      <c r="O23" s="49"/>
      <c r="P23" s="49"/>
      <c r="Q23" s="49"/>
      <c r="R23" s="49"/>
      <c r="S23" s="49"/>
      <c r="T23" s="49"/>
      <c r="U23" s="49"/>
      <c r="V23" s="49"/>
      <c r="W23" s="49"/>
    </row>
    <row r="24" spans="13:23" x14ac:dyDescent="0.2">
      <c r="M24" t="s">
        <v>196</v>
      </c>
    </row>
  </sheetData>
  <phoneticPr fontId="1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8DC36-8A55-4D2E-83D6-D43212FAE157}">
  <dimension ref="A3:N93"/>
  <sheetViews>
    <sheetView topLeftCell="A65" workbookViewId="0">
      <selection activeCell="R77" sqref="R77"/>
    </sheetView>
  </sheetViews>
  <sheetFormatPr baseColWidth="10" defaultColWidth="8.83203125" defaultRowHeight="15" x14ac:dyDescent="0.2"/>
  <cols>
    <col min="2" max="2" width="21.33203125" customWidth="1"/>
    <col min="3" max="3" width="10.6640625" bestFit="1" customWidth="1"/>
  </cols>
  <sheetData>
    <row r="3" spans="2:14" ht="16" thickBot="1" x14ac:dyDescent="0.25"/>
    <row r="4" spans="2:14" x14ac:dyDescent="0.2">
      <c r="B4" s="355" t="s">
        <v>59</v>
      </c>
      <c r="C4" s="357" t="s">
        <v>54</v>
      </c>
      <c r="D4" s="360" t="s">
        <v>74</v>
      </c>
      <c r="E4" s="360"/>
      <c r="F4" s="361"/>
      <c r="G4" s="359" t="s">
        <v>76</v>
      </c>
      <c r="H4" s="360"/>
      <c r="I4" s="361"/>
      <c r="J4" s="359" t="s">
        <v>75</v>
      </c>
      <c r="K4" s="360"/>
      <c r="L4" s="361"/>
    </row>
    <row r="5" spans="2:14" x14ac:dyDescent="0.2">
      <c r="B5" s="356"/>
      <c r="C5" s="358"/>
      <c r="D5" s="24" t="s">
        <v>52</v>
      </c>
      <c r="E5" s="24" t="s">
        <v>72</v>
      </c>
      <c r="F5" s="25" t="s">
        <v>73</v>
      </c>
      <c r="G5" s="55" t="s">
        <v>71</v>
      </c>
      <c r="H5" s="56" t="s">
        <v>72</v>
      </c>
      <c r="I5" s="57" t="s">
        <v>73</v>
      </c>
      <c r="J5" s="43" t="s">
        <v>71</v>
      </c>
      <c r="K5" s="24" t="s">
        <v>72</v>
      </c>
      <c r="L5" s="25" t="s">
        <v>73</v>
      </c>
    </row>
    <row r="6" spans="2:14" ht="16" thickBot="1" x14ac:dyDescent="0.25">
      <c r="B6" s="32" t="s">
        <v>68</v>
      </c>
      <c r="C6" s="39" t="s">
        <v>55</v>
      </c>
      <c r="D6" s="18">
        <v>33.32692307692308</v>
      </c>
      <c r="E6" s="18">
        <v>2.0539999999999998</v>
      </c>
      <c r="F6" s="26">
        <v>1.635</v>
      </c>
      <c r="G6" s="52">
        <f>(($C$29*J6)/1000000)*(44/12)</f>
        <v>0</v>
      </c>
      <c r="H6" s="53">
        <f t="shared" ref="H6:I6" si="0">(($C$29*K6)/1000000)*(44/12)</f>
        <v>0</v>
      </c>
      <c r="I6" s="54">
        <f t="shared" si="0"/>
        <v>0</v>
      </c>
      <c r="J6" s="44">
        <f>IF(AND('1.Energy'!D16=B6,'1.Energy'!H16=C6),D6,IF(AND('1.Energy'!D16=B6,'1.Energy'!H16=C7),D7,IF(AND('1.Energy'!D16=B6,'1.Energy'!H16=C8),D8,IF(AND('1.Energy'!D16=B9,'1.Energy'!H16=C9),D9,IF(AND('1.Energy'!D16=B9,'1.Energy'!H16=C10),D10,IF(AND('1.Energy'!D16=B9,'1.Energy'!H16=C11),D11,IF(AND('1.Energy'!D16=B12,'1.Energy'!H16=C12),D12,IF(AND('1.Energy'!D16=B12,'1.Energy'!H16=C13),D13,IF(AND('1.Energy'!D16=B12,'1.Energy'!H16=C14),D14,IF(AND('1.Energy'!D16=B16,'1.Energy'!H16=C16),D16,IF(AND('1.Energy'!D16=B16,'1.Energy'!H16=C17),D17,IF(AND('1.Energy'!D16=B16,'1.Energy'!H16=C18),D18,0))))))))))))</f>
        <v>0</v>
      </c>
      <c r="K6" s="37">
        <f>IF(AND('1.Energy'!D16=B6,'1.Energy'!H16=C6),E6,IF(AND('1.Energy'!D16=B6,'1.Energy'!H16=C7),E7,IF(AND('1.Energy'!D16=B6,'1.Energy'!H16=C8),E8,IF(AND('1.Energy'!D16=B9,'1.Energy'!H16=C9),E9,IF(AND('1.Energy'!D16=B9,'1.Energy'!H16=C10),E10,IF(AND('1.Energy'!D16=B9,'1.Energy'!H16=C11),E11,IF(AND('1.Energy'!D16=B12,'1.Energy'!H16=C12),E12,IF(AND('1.Energy'!D16=B12,'1.Energy'!H16=C13),E13,IF(AND('1.Energy'!D16=B12,'1.Energy'!H16=C14),E14,IF(AND('1.Energy'!D16=B16,'1.Energy'!H16=C16),E16,IF(AND('1.Energy'!D16=B16,'1.Energy'!H16=C17),E17,IF(AND('1.Energy'!D16=B16,'1.Energy'!H16=C18),E18,0))))))))))))</f>
        <v>0</v>
      </c>
      <c r="L6" s="45">
        <f>IF(AND('1.Energy'!D16=B6,'1.Energy'!H16=C6),F6,IF(AND('1.Energy'!D16=B6,'1.Energy'!H16=C7),F7,IF(AND('1.Energy'!D16=B6,'1.Energy'!H16=C8),F8,IF(AND('1.Energy'!D16=B9,'1.Energy'!H16=C9),F9,IF(AND('1.Energy'!D16=B9,'1.Energy'!H16=C10),F10,IF(AND('1.Energy'!D16=B9,'1.Energy'!H16=C11),F11,IF(AND('1.Energy'!D16=B12,'1.Energy'!H16=C12),F12,IF(AND('1.Energy'!D16=B12,'1.Energy'!H16=C13),F13,IF(AND('1.Energy'!D16=B12,'1.Energy'!H16=C14),F14,IF(AND('1.Energy'!D16=B16,'1.Energy'!H16=C16),F16,IF(AND('1.Energy'!D16=B16,'1.Energy'!H16=C17),F17,IF(AND('1.Energy'!D16=B16,'1.Energy'!H16=C18),F18,0))))))))))))</f>
        <v>0</v>
      </c>
    </row>
    <row r="7" spans="2:14" x14ac:dyDescent="0.2">
      <c r="B7" s="33" t="s">
        <v>68</v>
      </c>
      <c r="C7" s="39" t="s">
        <v>56</v>
      </c>
      <c r="D7" s="19">
        <v>48.633333333333333</v>
      </c>
      <c r="E7" s="19">
        <v>2.5666666666666664</v>
      </c>
      <c r="F7" s="46">
        <f>F6</f>
        <v>1.635</v>
      </c>
      <c r="G7" s="21"/>
      <c r="H7" s="21"/>
      <c r="I7" s="21"/>
    </row>
    <row r="8" spans="2:14" x14ac:dyDescent="0.2">
      <c r="B8" s="33" t="s">
        <v>68</v>
      </c>
      <c r="C8" s="39" t="s">
        <v>57</v>
      </c>
      <c r="D8" s="19">
        <v>92</v>
      </c>
      <c r="E8" s="21">
        <v>2.6</v>
      </c>
      <c r="F8" s="46">
        <f>F6</f>
        <v>1.635</v>
      </c>
      <c r="G8" s="21"/>
      <c r="H8" s="21"/>
      <c r="I8" s="21"/>
    </row>
    <row r="9" spans="2:14" ht="16" thickBot="1" x14ac:dyDescent="0.25">
      <c r="B9" s="32" t="s">
        <v>60</v>
      </c>
      <c r="C9" s="38" t="s">
        <v>55</v>
      </c>
      <c r="D9" s="18">
        <v>63.624285714285712</v>
      </c>
      <c r="E9" s="18">
        <v>10.992777777777777</v>
      </c>
      <c r="F9" s="26">
        <v>0.14375000000000002</v>
      </c>
      <c r="G9" s="19"/>
      <c r="H9" s="19"/>
      <c r="I9" s="19"/>
    </row>
    <row r="10" spans="2:14" x14ac:dyDescent="0.2">
      <c r="B10" s="33" t="s">
        <v>60</v>
      </c>
      <c r="C10" s="39" t="s">
        <v>56</v>
      </c>
      <c r="D10" s="19">
        <v>63.566666666666663</v>
      </c>
      <c r="E10" s="19">
        <v>7.6983333333333333</v>
      </c>
      <c r="F10" s="27">
        <v>9.2500000000000013E-2</v>
      </c>
      <c r="G10" s="19"/>
      <c r="H10" s="19"/>
      <c r="I10" s="19"/>
      <c r="L10" s="362" t="s">
        <v>78</v>
      </c>
      <c r="M10" s="363"/>
      <c r="N10" s="364"/>
    </row>
    <row r="11" spans="2:14" x14ac:dyDescent="0.2">
      <c r="B11" s="34" t="s">
        <v>60</v>
      </c>
      <c r="C11" s="40" t="s">
        <v>57</v>
      </c>
      <c r="D11" s="20">
        <v>149.06687499999998</v>
      </c>
      <c r="E11" s="20">
        <v>6.8166666666666664</v>
      </c>
      <c r="F11" s="28">
        <v>0.23399999999999999</v>
      </c>
      <c r="G11" s="19"/>
      <c r="H11" s="19"/>
      <c r="I11" s="19"/>
      <c r="L11" s="62" t="s">
        <v>71</v>
      </c>
      <c r="M11" s="63" t="s">
        <v>53</v>
      </c>
      <c r="N11" s="64" t="s">
        <v>73</v>
      </c>
    </row>
    <row r="12" spans="2:14" ht="16" thickBot="1" x14ac:dyDescent="0.25">
      <c r="B12" s="32" t="s">
        <v>61</v>
      </c>
      <c r="C12" s="38" t="s">
        <v>55</v>
      </c>
      <c r="D12" s="18">
        <v>16.132999999999999</v>
      </c>
      <c r="E12" s="18">
        <v>0.2</v>
      </c>
      <c r="F12" s="26">
        <v>0.6</v>
      </c>
      <c r="G12" s="19"/>
      <c r="H12" s="19"/>
      <c r="I12" s="19"/>
      <c r="L12" s="44">
        <f>(G19*'1.Energy'!$K$16)-(G6*'1.Energy'!$K$16)</f>
        <v>0</v>
      </c>
      <c r="M12" s="37">
        <f>(H19*'1.Energy'!$K$16)-(H6*'1.Energy'!$K$16)</f>
        <v>0</v>
      </c>
      <c r="N12" s="45">
        <f>(I19*'1.Energy'!$K$16)-(I6*'1.Energy'!$K$16)</f>
        <v>0</v>
      </c>
    </row>
    <row r="13" spans="2:14" x14ac:dyDescent="0.2">
      <c r="B13" s="33" t="s">
        <v>61</v>
      </c>
      <c r="C13" s="39" t="s">
        <v>56</v>
      </c>
      <c r="D13" s="21">
        <v>16.132999999999999</v>
      </c>
      <c r="E13" s="21">
        <f>E12</f>
        <v>0.2</v>
      </c>
      <c r="F13" s="46">
        <f>F12</f>
        <v>0.6</v>
      </c>
      <c r="G13" s="21"/>
      <c r="H13" s="21"/>
      <c r="I13" s="21"/>
    </row>
    <row r="14" spans="2:14" x14ac:dyDescent="0.2">
      <c r="B14" s="34" t="s">
        <v>61</v>
      </c>
      <c r="C14" s="40" t="s">
        <v>57</v>
      </c>
      <c r="D14" s="22">
        <f>D13*(D11/D10)</f>
        <v>37.832656964472989</v>
      </c>
      <c r="E14" s="22">
        <f>E12</f>
        <v>0.2</v>
      </c>
      <c r="F14" s="47">
        <f>F12</f>
        <v>0.6</v>
      </c>
      <c r="G14" s="21"/>
      <c r="H14" s="21"/>
      <c r="I14" s="21"/>
    </row>
    <row r="15" spans="2:14" x14ac:dyDescent="0.2">
      <c r="B15" s="35" t="s">
        <v>62</v>
      </c>
      <c r="C15" s="41" t="s">
        <v>69</v>
      </c>
      <c r="D15" s="23"/>
      <c r="E15" s="23">
        <v>2.64</v>
      </c>
      <c r="F15" s="29">
        <v>1.03</v>
      </c>
      <c r="G15" s="23"/>
      <c r="H15" s="23"/>
      <c r="I15" s="23"/>
    </row>
    <row r="16" spans="2:14" ht="16" thickBot="1" x14ac:dyDescent="0.25">
      <c r="B16" s="32" t="s">
        <v>62</v>
      </c>
      <c r="C16" s="38" t="s">
        <v>55</v>
      </c>
      <c r="D16" s="18">
        <v>47.685641025641011</v>
      </c>
      <c r="E16" s="18">
        <v>0.99500000000000022</v>
      </c>
      <c r="F16" s="26">
        <v>1.276</v>
      </c>
      <c r="G16" s="19"/>
      <c r="H16" s="19"/>
      <c r="I16" s="19"/>
    </row>
    <row r="17" spans="2:12" x14ac:dyDescent="0.2">
      <c r="B17" s="33" t="s">
        <v>62</v>
      </c>
      <c r="C17" s="39" t="s">
        <v>56</v>
      </c>
      <c r="D17" s="19">
        <v>92.72727272727272</v>
      </c>
      <c r="E17" s="19">
        <v>1.9</v>
      </c>
      <c r="F17" s="46">
        <f>F16</f>
        <v>1.276</v>
      </c>
      <c r="G17" s="359" t="s">
        <v>76</v>
      </c>
      <c r="H17" s="360"/>
      <c r="I17" s="361"/>
      <c r="J17" s="359" t="s">
        <v>75</v>
      </c>
      <c r="K17" s="360"/>
      <c r="L17" s="361"/>
    </row>
    <row r="18" spans="2:12" x14ac:dyDescent="0.2">
      <c r="B18" s="34" t="s">
        <v>62</v>
      </c>
      <c r="C18" s="40" t="s">
        <v>57</v>
      </c>
      <c r="D18" s="22">
        <f>D17*(D11/D10)</f>
        <v>217.44989154788573</v>
      </c>
      <c r="E18" s="22">
        <f>E17</f>
        <v>1.9</v>
      </c>
      <c r="F18" s="47">
        <f>F16</f>
        <v>1.276</v>
      </c>
      <c r="G18" s="55" t="s">
        <v>71</v>
      </c>
      <c r="H18" s="56" t="s">
        <v>72</v>
      </c>
      <c r="I18" s="57" t="s">
        <v>73</v>
      </c>
      <c r="J18" s="43" t="s">
        <v>71</v>
      </c>
      <c r="K18" s="24" t="s">
        <v>72</v>
      </c>
      <c r="L18" s="25" t="s">
        <v>73</v>
      </c>
    </row>
    <row r="19" spans="2:12" ht="16" thickBot="1" x14ac:dyDescent="0.25">
      <c r="B19" s="33" t="s">
        <v>70</v>
      </c>
      <c r="C19" s="39" t="s">
        <v>55</v>
      </c>
      <c r="D19" s="19">
        <v>80.729058823529385</v>
      </c>
      <c r="E19" s="19">
        <v>7.8015789473684203</v>
      </c>
      <c r="F19" s="27">
        <v>0.35333333333333328</v>
      </c>
      <c r="G19" s="59">
        <f>(($C$29*J19)/1000000)*(44/12)</f>
        <v>0</v>
      </c>
      <c r="H19" s="60">
        <f>(($C$29*K19)/1000000)*(44/12)</f>
        <v>0</v>
      </c>
      <c r="I19" s="61">
        <f>(($C$29*L19)/1000000)*(44/12)</f>
        <v>0</v>
      </c>
      <c r="J19" s="44">
        <f>IF('1.Energy'!H16=Sheet5!C19,Sheet5!D19,IF('1.Energy'!H16=Sheet5!C20,Sheet5!D20,IF('1.Energy'!H16=Sheet5!C21,Sheet5!D21,0)))</f>
        <v>0</v>
      </c>
      <c r="K19" s="37">
        <f>IF('1.Energy'!H16=Sheet5!C19,Sheet5!E19,IF('1.Energy'!H16=Sheet5!C20,Sheet5!E20,IF('1.Energy'!H16=Sheet5!C21,Sheet5!E21,0)))</f>
        <v>0</v>
      </c>
      <c r="L19" s="45">
        <f>IF('1.Energy'!H16=Sheet5!C19,Sheet5!F19,IF('1.Energy'!H16=Sheet5!C20,Sheet5!F20,IF('1.Energy'!H16=Sheet5!C21,Sheet5!F21,0)))</f>
        <v>0</v>
      </c>
    </row>
    <row r="20" spans="2:12" x14ac:dyDescent="0.2">
      <c r="B20" s="33" t="s">
        <v>70</v>
      </c>
      <c r="C20" s="39" t="s">
        <v>56</v>
      </c>
      <c r="D20" s="19">
        <v>71.458333333333329</v>
      </c>
      <c r="E20" s="19">
        <v>6.0166666666666666</v>
      </c>
      <c r="F20" s="27">
        <v>0.05</v>
      </c>
      <c r="G20" s="51"/>
      <c r="H20" s="51"/>
      <c r="I20" s="51"/>
    </row>
    <row r="21" spans="2:12" ht="16" thickBot="1" x14ac:dyDescent="0.25">
      <c r="B21" s="36" t="s">
        <v>70</v>
      </c>
      <c r="C21" s="42" t="s">
        <v>57</v>
      </c>
      <c r="D21" s="30">
        <v>145.84</v>
      </c>
      <c r="E21" s="30">
        <v>8</v>
      </c>
      <c r="F21" s="31">
        <v>0.23249999999999998</v>
      </c>
      <c r="G21" s="51"/>
      <c r="H21" s="51"/>
      <c r="I21" s="51"/>
    </row>
    <row r="26" spans="2:12" ht="32" x14ac:dyDescent="0.2">
      <c r="B26" s="48" t="s">
        <v>65</v>
      </c>
      <c r="C26" s="50">
        <v>5</v>
      </c>
    </row>
    <row r="27" spans="2:12" ht="32" x14ac:dyDescent="0.2">
      <c r="B27" s="48" t="s">
        <v>66</v>
      </c>
      <c r="C27" s="50">
        <v>1095</v>
      </c>
    </row>
    <row r="28" spans="2:12" ht="32" x14ac:dyDescent="0.2">
      <c r="B28" s="48" t="s">
        <v>67</v>
      </c>
      <c r="C28" s="50">
        <f>C27*C26</f>
        <v>5475</v>
      </c>
    </row>
    <row r="29" spans="2:12" ht="32" x14ac:dyDescent="0.2">
      <c r="B29" s="48" t="s">
        <v>93</v>
      </c>
      <c r="C29" s="50">
        <f>C28</f>
        <v>5475</v>
      </c>
      <c r="D29" s="49">
        <f>(C29*Start!H71)/1000000</f>
        <v>8.9680499999999999</v>
      </c>
    </row>
    <row r="35" spans="2:4" x14ac:dyDescent="0.2">
      <c r="B35" t="s">
        <v>88</v>
      </c>
    </row>
    <row r="36" spans="2:4" x14ac:dyDescent="0.2">
      <c r="B36" s="66"/>
      <c r="C36" s="67" t="s">
        <v>87</v>
      </c>
      <c r="D36" s="67" t="s">
        <v>57</v>
      </c>
    </row>
    <row r="37" spans="2:4" ht="18" x14ac:dyDescent="0.2">
      <c r="B37" s="68" t="s">
        <v>85</v>
      </c>
      <c r="C37" s="71">
        <f>(C29*Start!H71)/1000000</f>
        <v>8.9680499999999999</v>
      </c>
      <c r="D37" s="71">
        <f>(C29*Start!H72)/1000000</f>
        <v>13.868175000000001</v>
      </c>
    </row>
    <row r="38" spans="2:4" ht="18" x14ac:dyDescent="0.2">
      <c r="B38" s="68" t="s">
        <v>86</v>
      </c>
      <c r="C38" s="71">
        <f>(C29*Start!I71)/1000000</f>
        <v>2.7375E-2</v>
      </c>
      <c r="D38" s="71">
        <f>(C29*Start!I72)/1000000</f>
        <v>6.0225000000000001E-2</v>
      </c>
    </row>
    <row r="39" spans="2:4" ht="16" x14ac:dyDescent="0.2">
      <c r="B39" s="68" t="s">
        <v>81</v>
      </c>
      <c r="C39" s="71">
        <f>(C29*Start!J71)/1000000</f>
        <v>5.475E-2</v>
      </c>
      <c r="D39" s="71">
        <f>(C29*Start!J72)/1000000</f>
        <v>8.7599999999999997E-2</v>
      </c>
    </row>
    <row r="40" spans="2:4" ht="16" x14ac:dyDescent="0.2">
      <c r="B40" s="69" t="s">
        <v>71</v>
      </c>
      <c r="C40" s="71">
        <f>(C29*Start!K71)/1000000</f>
        <v>0.61867499999999997</v>
      </c>
      <c r="D40" s="71">
        <f>(C29*Start!K72)/1000000</f>
        <v>1.7136750000000001</v>
      </c>
    </row>
    <row r="41" spans="2:4" ht="17" x14ac:dyDescent="0.2">
      <c r="B41" s="70" t="s">
        <v>82</v>
      </c>
      <c r="C41" s="71">
        <f>(C29*Start!L71)/1000000</f>
        <v>5.8034999999999996E-3</v>
      </c>
      <c r="D41" s="71">
        <f>(C29*Start!L72)/1000000</f>
        <v>2.0804999999999999E-3</v>
      </c>
    </row>
    <row r="45" spans="2:4" x14ac:dyDescent="0.2">
      <c r="B45" t="s">
        <v>117</v>
      </c>
    </row>
    <row r="46" spans="2:4" x14ac:dyDescent="0.2">
      <c r="C46" t="s">
        <v>52</v>
      </c>
      <c r="D46" t="s">
        <v>53</v>
      </c>
    </row>
    <row r="47" spans="2:4" x14ac:dyDescent="0.2">
      <c r="B47" t="s">
        <v>111</v>
      </c>
      <c r="C47">
        <v>3074</v>
      </c>
      <c r="D47">
        <v>0.02</v>
      </c>
    </row>
    <row r="48" spans="2:4" x14ac:dyDescent="0.2">
      <c r="B48" t="s">
        <v>112</v>
      </c>
      <c r="C48">
        <v>4908</v>
      </c>
      <c r="D48">
        <v>0.02</v>
      </c>
    </row>
    <row r="49" spans="2:9" x14ac:dyDescent="0.2">
      <c r="B49" t="s">
        <v>113</v>
      </c>
      <c r="C49">
        <v>5856</v>
      </c>
      <c r="D49">
        <v>0.02</v>
      </c>
    </row>
    <row r="50" spans="2:9" x14ac:dyDescent="0.2">
      <c r="B50" t="s">
        <v>114</v>
      </c>
      <c r="C50">
        <v>4969</v>
      </c>
      <c r="D50">
        <v>28</v>
      </c>
    </row>
    <row r="53" spans="2:9" ht="48" x14ac:dyDescent="0.2">
      <c r="B53" s="66"/>
      <c r="C53" s="82" t="s">
        <v>144</v>
      </c>
      <c r="D53" s="82" t="s">
        <v>145</v>
      </c>
      <c r="E53" s="82" t="s">
        <v>146</v>
      </c>
      <c r="F53" s="81"/>
      <c r="G53" s="82" t="s">
        <v>153</v>
      </c>
      <c r="H53" s="82" t="s">
        <v>151</v>
      </c>
      <c r="I53" s="82" t="s">
        <v>152</v>
      </c>
    </row>
    <row r="54" spans="2:9" x14ac:dyDescent="0.2">
      <c r="B54" s="66" t="s">
        <v>136</v>
      </c>
      <c r="C54" s="67">
        <v>61.71</v>
      </c>
      <c r="D54" s="67">
        <v>3</v>
      </c>
      <c r="E54" s="67">
        <v>0.6</v>
      </c>
      <c r="F54" s="81"/>
      <c r="G54" s="67">
        <f>C54/0.293</f>
        <v>210.61433447098977</v>
      </c>
      <c r="H54" s="67">
        <f t="shared" ref="H54:I54" si="1">D54/0.293</f>
        <v>10.238907849829353</v>
      </c>
      <c r="I54" s="67">
        <f t="shared" si="1"/>
        <v>2.0477815699658706</v>
      </c>
    </row>
    <row r="55" spans="2:9" x14ac:dyDescent="0.2">
      <c r="B55" s="66" t="s">
        <v>131</v>
      </c>
      <c r="C55" s="67"/>
      <c r="D55" s="67"/>
      <c r="E55" s="67"/>
      <c r="F55" s="81"/>
      <c r="G55" s="67"/>
      <c r="H55" s="67"/>
      <c r="I55" s="67"/>
    </row>
    <row r="56" spans="2:9" x14ac:dyDescent="0.2">
      <c r="B56" s="66" t="s">
        <v>132</v>
      </c>
      <c r="C56" s="67">
        <v>53.06</v>
      </c>
      <c r="D56" s="67">
        <v>1</v>
      </c>
      <c r="E56" s="67">
        <v>0.1</v>
      </c>
      <c r="F56" s="81"/>
      <c r="G56" s="67">
        <f t="shared" ref="G56:G62" si="2">C56/0.293</f>
        <v>181.09215017064849</v>
      </c>
      <c r="H56" s="67">
        <f t="shared" ref="H56:H62" si="3">D56/0.293</f>
        <v>3.4129692832764507</v>
      </c>
      <c r="I56" s="67">
        <f t="shared" ref="I56:I62" si="4">E56/0.293</f>
        <v>0.34129692832764508</v>
      </c>
    </row>
    <row r="57" spans="2:9" x14ac:dyDescent="0.2">
      <c r="B57" s="66" t="s">
        <v>135</v>
      </c>
      <c r="C57" s="67">
        <v>75.2</v>
      </c>
      <c r="D57" s="67">
        <v>3</v>
      </c>
      <c r="E57" s="67">
        <v>0.6</v>
      </c>
      <c r="F57" s="81"/>
      <c r="G57" s="67">
        <f t="shared" si="2"/>
        <v>256.65529010238913</v>
      </c>
      <c r="H57" s="67">
        <f t="shared" si="3"/>
        <v>10.238907849829353</v>
      </c>
      <c r="I57" s="67">
        <f t="shared" si="4"/>
        <v>2.0477815699658706</v>
      </c>
    </row>
    <row r="58" spans="2:9" x14ac:dyDescent="0.2">
      <c r="B58" s="66" t="s">
        <v>150</v>
      </c>
      <c r="C58" s="67">
        <v>62.87</v>
      </c>
      <c r="D58" s="67">
        <v>3</v>
      </c>
      <c r="E58" s="67">
        <v>0.6</v>
      </c>
      <c r="F58" s="81"/>
      <c r="G58" s="67">
        <f t="shared" si="2"/>
        <v>214.57337883959045</v>
      </c>
      <c r="H58" s="67">
        <f t="shared" si="3"/>
        <v>10.238907849829353</v>
      </c>
      <c r="I58" s="67">
        <f t="shared" si="4"/>
        <v>2.0477815699658706</v>
      </c>
    </row>
    <row r="59" spans="2:9" x14ac:dyDescent="0.2">
      <c r="F59" s="81"/>
      <c r="G59" s="67"/>
      <c r="H59" s="67"/>
      <c r="I59" s="67"/>
    </row>
    <row r="60" spans="2:9" x14ac:dyDescent="0.2">
      <c r="B60" s="66" t="s">
        <v>133</v>
      </c>
      <c r="C60" s="67">
        <v>68.44</v>
      </c>
      <c r="D60" s="67">
        <v>1.1000000000000001</v>
      </c>
      <c r="E60" s="67">
        <v>0.11</v>
      </c>
      <c r="F60" s="81"/>
      <c r="G60" s="67">
        <f t="shared" si="2"/>
        <v>233.58361774744029</v>
      </c>
      <c r="H60" s="67">
        <f t="shared" si="3"/>
        <v>3.7542662116040959</v>
      </c>
      <c r="I60" s="67">
        <f t="shared" si="4"/>
        <v>0.37542662116040959</v>
      </c>
    </row>
    <row r="61" spans="2:9" x14ac:dyDescent="0.2">
      <c r="B61" s="66" t="s">
        <v>147</v>
      </c>
      <c r="C61" s="67">
        <v>73.84</v>
      </c>
      <c r="D61" s="67">
        <v>1.1000000000000001</v>
      </c>
      <c r="E61" s="67">
        <v>0.11</v>
      </c>
      <c r="F61" s="81"/>
      <c r="G61" s="67">
        <f t="shared" si="2"/>
        <v>252.01365187713313</v>
      </c>
      <c r="H61" s="67">
        <f t="shared" si="3"/>
        <v>3.7542662116040959</v>
      </c>
      <c r="I61" s="67">
        <f t="shared" si="4"/>
        <v>0.37542662116040959</v>
      </c>
    </row>
    <row r="62" spans="2:9" x14ac:dyDescent="0.2">
      <c r="B62" s="66" t="s">
        <v>148</v>
      </c>
      <c r="C62" s="67">
        <v>52.07</v>
      </c>
      <c r="D62" s="67">
        <v>3.2</v>
      </c>
      <c r="E62" s="67">
        <v>0.63</v>
      </c>
      <c r="F62" s="81"/>
      <c r="G62" s="67">
        <f t="shared" si="2"/>
        <v>177.71331058020479</v>
      </c>
      <c r="H62" s="67">
        <f t="shared" si="3"/>
        <v>10.921501706484642</v>
      </c>
      <c r="I62" s="67">
        <f t="shared" si="4"/>
        <v>2.1501706484641638</v>
      </c>
    </row>
    <row r="64" spans="2:9" x14ac:dyDescent="0.2">
      <c r="C64" t="s">
        <v>143</v>
      </c>
    </row>
    <row r="66" spans="1:5" x14ac:dyDescent="0.2">
      <c r="B66" t="s">
        <v>137</v>
      </c>
      <c r="C66" t="s">
        <v>139</v>
      </c>
      <c r="D66" t="s">
        <v>138</v>
      </c>
      <c r="E66" t="s">
        <v>139</v>
      </c>
    </row>
    <row r="67" spans="1:5" x14ac:dyDescent="0.2">
      <c r="B67" t="s">
        <v>28</v>
      </c>
      <c r="C67">
        <v>305.4187</v>
      </c>
      <c r="D67">
        <v>2022</v>
      </c>
      <c r="E67">
        <v>305.4187</v>
      </c>
    </row>
    <row r="68" spans="1:5" x14ac:dyDescent="0.2">
      <c r="B68" t="s">
        <v>140</v>
      </c>
      <c r="C68">
        <v>0</v>
      </c>
      <c r="D68">
        <v>2022</v>
      </c>
      <c r="E68">
        <v>0</v>
      </c>
    </row>
    <row r="69" spans="1:5" x14ac:dyDescent="0.2">
      <c r="B69" t="s">
        <v>27</v>
      </c>
      <c r="C69">
        <v>700</v>
      </c>
      <c r="D69">
        <v>2022</v>
      </c>
      <c r="E69">
        <v>700</v>
      </c>
    </row>
    <row r="70" spans="1:5" x14ac:dyDescent="0.2">
      <c r="B70" t="s">
        <v>141</v>
      </c>
      <c r="C70">
        <v>24.456524000000002</v>
      </c>
      <c r="D70">
        <v>2022</v>
      </c>
      <c r="E70">
        <v>24.456524000000002</v>
      </c>
    </row>
    <row r="71" spans="1:5" x14ac:dyDescent="0.2">
      <c r="B71" t="s">
        <v>142</v>
      </c>
      <c r="C71">
        <v>591.83672999999999</v>
      </c>
      <c r="D71">
        <v>2022</v>
      </c>
      <c r="E71">
        <v>591.83672999999999</v>
      </c>
    </row>
    <row r="72" spans="1:5" x14ac:dyDescent="0.2">
      <c r="B72" t="s">
        <v>29</v>
      </c>
      <c r="C72">
        <v>491.59661999999997</v>
      </c>
      <c r="D72">
        <v>2022</v>
      </c>
      <c r="E72">
        <v>491.59661999999997</v>
      </c>
    </row>
    <row r="80" spans="1:5" x14ac:dyDescent="0.2">
      <c r="A80" t="s">
        <v>401</v>
      </c>
      <c r="B80" t="s">
        <v>404</v>
      </c>
      <c r="C80" t="s">
        <v>463</v>
      </c>
    </row>
    <row r="81" spans="1:3" x14ac:dyDescent="0.2">
      <c r="A81" t="s">
        <v>402</v>
      </c>
      <c r="B81" t="s">
        <v>43</v>
      </c>
      <c r="C81" s="132">
        <f>'1.Energy'!AC22</f>
        <v>0</v>
      </c>
    </row>
    <row r="82" spans="1:3" x14ac:dyDescent="0.2">
      <c r="A82" t="s">
        <v>402</v>
      </c>
      <c r="B82" t="s">
        <v>121</v>
      </c>
      <c r="C82" s="132">
        <f>'1.Energy'!Z40</f>
        <v>0</v>
      </c>
    </row>
    <row r="83" spans="1:3" x14ac:dyDescent="0.2">
      <c r="A83" t="s">
        <v>402</v>
      </c>
      <c r="B83" t="s">
        <v>125</v>
      </c>
      <c r="C83" s="132">
        <f>'1.Energy'!AB58</f>
        <v>0</v>
      </c>
    </row>
    <row r="84" spans="1:3" x14ac:dyDescent="0.2">
      <c r="A84" t="s">
        <v>402</v>
      </c>
      <c r="B84" t="s">
        <v>177</v>
      </c>
      <c r="C84" s="132">
        <f>'1.Energy'!U76</f>
        <v>0</v>
      </c>
    </row>
    <row r="85" spans="1:3" x14ac:dyDescent="0.2">
      <c r="A85" t="s">
        <v>452</v>
      </c>
      <c r="B85" t="s">
        <v>197</v>
      </c>
      <c r="C85" s="132">
        <f>'2.Afforestation &amp; Reforestation'!Z22</f>
        <v>0</v>
      </c>
    </row>
    <row r="86" spans="1:3" x14ac:dyDescent="0.2">
      <c r="A86" t="s">
        <v>452</v>
      </c>
      <c r="B86" t="s">
        <v>239</v>
      </c>
      <c r="C86" s="132">
        <f>'2.Afforestation &amp; Reforestation'!Z40</f>
        <v>0</v>
      </c>
    </row>
    <row r="87" spans="1:3" x14ac:dyDescent="0.2">
      <c r="A87" t="s">
        <v>452</v>
      </c>
      <c r="B87" t="s">
        <v>242</v>
      </c>
      <c r="C87" s="132">
        <f>'2.Afforestation &amp; Reforestation'!Z58</f>
        <v>0</v>
      </c>
    </row>
    <row r="88" spans="1:3" x14ac:dyDescent="0.2">
      <c r="A88" t="s">
        <v>453</v>
      </c>
      <c r="B88" t="s">
        <v>255</v>
      </c>
      <c r="C88" s="132">
        <f>'3.Agriculture'!AD22</f>
        <v>0</v>
      </c>
    </row>
    <row r="89" spans="1:3" x14ac:dyDescent="0.2">
      <c r="A89" t="s">
        <v>453</v>
      </c>
      <c r="B89" t="s">
        <v>256</v>
      </c>
      <c r="C89" s="132">
        <f>'3.Agriculture'!AD40</f>
        <v>0</v>
      </c>
    </row>
    <row r="90" spans="1:3" x14ac:dyDescent="0.2">
      <c r="A90" t="s">
        <v>453</v>
      </c>
      <c r="B90" t="s">
        <v>257</v>
      </c>
      <c r="C90" s="132">
        <f>'3.Agriculture'!AD58</f>
        <v>0</v>
      </c>
    </row>
    <row r="91" spans="1:3" x14ac:dyDescent="0.2">
      <c r="A91" t="s">
        <v>454</v>
      </c>
      <c r="B91" t="s">
        <v>371</v>
      </c>
      <c r="C91" s="132">
        <f>'4.Forestry &amp; Conservation'!Y26</f>
        <v>0</v>
      </c>
    </row>
    <row r="92" spans="1:3" x14ac:dyDescent="0.2">
      <c r="A92" t="s">
        <v>454</v>
      </c>
      <c r="B92" t="s">
        <v>372</v>
      </c>
      <c r="C92" s="132">
        <f>'4.Forestry &amp; Conservation'!P48</f>
        <v>0</v>
      </c>
    </row>
    <row r="93" spans="1:3" x14ac:dyDescent="0.2">
      <c r="A93" t="s">
        <v>454</v>
      </c>
      <c r="B93" t="s">
        <v>365</v>
      </c>
      <c r="C93" s="132">
        <f>'4.Forestry &amp; Conservation'!P70</f>
        <v>0</v>
      </c>
    </row>
  </sheetData>
  <mergeCells count="8">
    <mergeCell ref="B4:B5"/>
    <mergeCell ref="C4:C5"/>
    <mergeCell ref="J4:L4"/>
    <mergeCell ref="J17:L17"/>
    <mergeCell ref="G17:I17"/>
    <mergeCell ref="G4:I4"/>
    <mergeCell ref="L10:N10"/>
    <mergeCell ref="D4:F4"/>
  </mergeCells>
  <phoneticPr fontId="16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5AB38-2FE2-4C6F-8967-C6693D7F8AB4}">
  <dimension ref="A2:O95"/>
  <sheetViews>
    <sheetView topLeftCell="A66" workbookViewId="0">
      <selection activeCell="D84" sqref="D84"/>
    </sheetView>
  </sheetViews>
  <sheetFormatPr baseColWidth="10" defaultColWidth="8.83203125" defaultRowHeight="15" x14ac:dyDescent="0.2"/>
  <cols>
    <col min="1" max="1" width="23.83203125" bestFit="1" customWidth="1"/>
    <col min="2" max="2" width="19.5" bestFit="1" customWidth="1"/>
    <col min="3" max="3" width="23" customWidth="1"/>
    <col min="4" max="4" width="13.83203125" bestFit="1" customWidth="1"/>
    <col min="5" max="5" width="13.33203125" customWidth="1"/>
    <col min="6" max="6" width="12.33203125" customWidth="1"/>
    <col min="7" max="7" width="16.1640625" bestFit="1" customWidth="1"/>
    <col min="8" max="8" width="12.6640625" customWidth="1"/>
    <col min="9" max="9" width="19.5" customWidth="1"/>
    <col min="10" max="10" width="15.1640625" customWidth="1"/>
    <col min="12" max="12" width="16.1640625" bestFit="1" customWidth="1"/>
    <col min="13" max="13" width="12.33203125" customWidth="1"/>
    <col min="14" max="14" width="16.33203125" customWidth="1"/>
    <col min="15" max="15" width="16.1640625" customWidth="1"/>
  </cols>
  <sheetData>
    <row r="2" spans="2:15" x14ac:dyDescent="0.2">
      <c r="B2" s="367"/>
      <c r="C2" s="368"/>
      <c r="D2" s="369"/>
      <c r="G2" s="366" t="s">
        <v>232</v>
      </c>
      <c r="H2" s="366"/>
      <c r="I2" s="366"/>
      <c r="J2" s="366"/>
      <c r="L2" s="366" t="s">
        <v>236</v>
      </c>
      <c r="M2" s="366"/>
      <c r="N2" s="366"/>
      <c r="O2" s="366"/>
    </row>
    <row r="3" spans="2:15" ht="32" x14ac:dyDescent="0.2">
      <c r="B3" s="94"/>
      <c r="C3" s="96" t="s">
        <v>215</v>
      </c>
      <c r="D3" s="96" t="s">
        <v>216</v>
      </c>
      <c r="E3" t="s">
        <v>367</v>
      </c>
      <c r="F3" t="s">
        <v>368</v>
      </c>
      <c r="G3" s="66"/>
      <c r="H3" s="95" t="s">
        <v>235</v>
      </c>
      <c r="I3" s="95" t="s">
        <v>233</v>
      </c>
      <c r="J3" s="95" t="s">
        <v>234</v>
      </c>
      <c r="L3" s="66"/>
      <c r="M3" s="95" t="s">
        <v>235</v>
      </c>
      <c r="N3" s="95" t="s">
        <v>233</v>
      </c>
      <c r="O3" s="95" t="s">
        <v>234</v>
      </c>
    </row>
    <row r="4" spans="2:15" x14ac:dyDescent="0.2">
      <c r="B4" s="66" t="s">
        <v>217</v>
      </c>
      <c r="C4" s="93">
        <v>432.3</v>
      </c>
      <c r="D4" s="93">
        <f t="shared" ref="D4:D21" si="0">C4*0.47*44/12</f>
        <v>744.99699999999996</v>
      </c>
      <c r="E4">
        <v>0.2544749778</v>
      </c>
      <c r="G4" s="94" t="s">
        <v>202</v>
      </c>
      <c r="H4" s="67">
        <v>1000</v>
      </c>
      <c r="I4" s="67">
        <v>1.88</v>
      </c>
      <c r="J4" s="67">
        <v>0.45</v>
      </c>
      <c r="L4" s="94" t="s">
        <v>202</v>
      </c>
      <c r="M4" s="67">
        <v>7233</v>
      </c>
      <c r="N4" s="67">
        <v>2.75</v>
      </c>
      <c r="O4" s="67">
        <v>0.59</v>
      </c>
    </row>
    <row r="5" spans="2:15" x14ac:dyDescent="0.2">
      <c r="B5" s="66" t="s">
        <v>218</v>
      </c>
      <c r="C5" s="93">
        <v>267.39999999999998</v>
      </c>
      <c r="D5" s="93">
        <f t="shared" si="0"/>
        <v>460.8193333333333</v>
      </c>
      <c r="E5">
        <v>5.7808250800000002E-2</v>
      </c>
      <c r="G5" s="94" t="s">
        <v>203</v>
      </c>
      <c r="H5" s="67">
        <v>1667</v>
      </c>
      <c r="I5" s="67">
        <v>0.48</v>
      </c>
      <c r="J5" s="67">
        <v>0.12</v>
      </c>
      <c r="L5" s="94" t="s">
        <v>203</v>
      </c>
      <c r="M5" s="67">
        <v>1481</v>
      </c>
      <c r="N5" s="67">
        <v>0.47</v>
      </c>
      <c r="O5" s="67">
        <v>0.11</v>
      </c>
    </row>
    <row r="6" spans="2:15" x14ac:dyDescent="0.2">
      <c r="B6" s="66" t="s">
        <v>219</v>
      </c>
      <c r="C6" s="93">
        <v>236.7</v>
      </c>
      <c r="D6" s="93">
        <f t="shared" si="0"/>
        <v>407.91300000000001</v>
      </c>
      <c r="E6">
        <v>0.15667031439999998</v>
      </c>
      <c r="G6" s="94" t="s">
        <v>204</v>
      </c>
      <c r="H6" s="67">
        <v>2771</v>
      </c>
      <c r="I6" s="67">
        <v>1.63</v>
      </c>
      <c r="J6" s="67">
        <v>0.46</v>
      </c>
      <c r="L6" s="94" t="s">
        <v>204</v>
      </c>
      <c r="M6" s="67">
        <v>1902</v>
      </c>
      <c r="N6" s="67">
        <v>2.98</v>
      </c>
      <c r="O6" s="67">
        <v>0.72</v>
      </c>
    </row>
    <row r="7" spans="2:15" x14ac:dyDescent="0.2">
      <c r="B7" s="66" t="s">
        <v>220</v>
      </c>
      <c r="C7" s="93">
        <v>141.69999999999999</v>
      </c>
      <c r="D7" s="93">
        <f t="shared" si="0"/>
        <v>244.19633333333331</v>
      </c>
      <c r="E7">
        <v>0.25396634900000004</v>
      </c>
      <c r="G7" s="94" t="s">
        <v>206</v>
      </c>
      <c r="H7" s="67">
        <v>152</v>
      </c>
      <c r="I7" s="67">
        <v>0.59</v>
      </c>
      <c r="J7" s="67">
        <v>0.21</v>
      </c>
      <c r="L7" s="94" t="s">
        <v>206</v>
      </c>
      <c r="M7" s="67">
        <v>152</v>
      </c>
      <c r="N7" s="67">
        <v>0.59</v>
      </c>
      <c r="O7" s="67">
        <v>0.21</v>
      </c>
    </row>
    <row r="8" spans="2:15" x14ac:dyDescent="0.2">
      <c r="B8" s="66" t="s">
        <v>221</v>
      </c>
      <c r="C8" s="93">
        <v>267.39999999999998</v>
      </c>
      <c r="D8" s="93">
        <f t="shared" si="0"/>
        <v>460.8193333333333</v>
      </c>
      <c r="E8">
        <v>6.6426224000000009E-3</v>
      </c>
      <c r="G8" s="94" t="s">
        <v>207</v>
      </c>
      <c r="H8" s="67">
        <v>6074</v>
      </c>
      <c r="I8" s="67">
        <v>5.61</v>
      </c>
      <c r="J8" s="67">
        <v>2.54</v>
      </c>
      <c r="L8" s="94" t="s">
        <v>207</v>
      </c>
      <c r="M8" s="67">
        <v>1477</v>
      </c>
      <c r="N8" s="67">
        <v>6.21</v>
      </c>
      <c r="O8" s="67">
        <v>1.49</v>
      </c>
    </row>
    <row r="9" spans="2:15" x14ac:dyDescent="0.2">
      <c r="B9" s="66" t="s">
        <v>222</v>
      </c>
      <c r="C9" s="93">
        <v>267.39999999999998</v>
      </c>
      <c r="D9" s="93">
        <f t="shared" si="0"/>
        <v>460.8193333333333</v>
      </c>
      <c r="E9">
        <v>6.6426224000000009E-3</v>
      </c>
      <c r="G9" s="94" t="s">
        <v>209</v>
      </c>
      <c r="H9" s="67">
        <v>4236</v>
      </c>
      <c r="I9" s="67">
        <v>2.4</v>
      </c>
      <c r="J9" s="67">
        <v>0.55000000000000004</v>
      </c>
      <c r="L9" s="94" t="s">
        <v>209</v>
      </c>
      <c r="M9" s="67">
        <v>4236</v>
      </c>
      <c r="N9" s="67">
        <v>1.82</v>
      </c>
      <c r="O9" s="67">
        <v>0.44</v>
      </c>
    </row>
    <row r="10" spans="2:15" x14ac:dyDescent="0.2">
      <c r="B10" s="66" t="s">
        <v>223</v>
      </c>
      <c r="C10" s="93">
        <v>415.5</v>
      </c>
      <c r="D10" s="93">
        <f t="shared" si="0"/>
        <v>716.04499999999996</v>
      </c>
      <c r="E10">
        <v>7.594643185400001E-5</v>
      </c>
      <c r="G10" s="94" t="s">
        <v>210</v>
      </c>
      <c r="H10" s="67">
        <v>1609</v>
      </c>
      <c r="I10" s="67">
        <v>2.91</v>
      </c>
      <c r="J10" s="67">
        <v>0.79</v>
      </c>
      <c r="L10" s="94" t="s">
        <v>210</v>
      </c>
      <c r="M10" s="67">
        <v>1609</v>
      </c>
      <c r="N10" s="67">
        <v>2.91</v>
      </c>
      <c r="O10" s="67">
        <v>0.79</v>
      </c>
    </row>
    <row r="11" spans="2:15" x14ac:dyDescent="0.2">
      <c r="B11" s="66" t="s">
        <v>224</v>
      </c>
      <c r="C11" s="93">
        <v>415.5</v>
      </c>
      <c r="D11" s="93">
        <f t="shared" si="0"/>
        <v>716.04499999999996</v>
      </c>
      <c r="E11">
        <v>1.7919055999999999E-2</v>
      </c>
      <c r="G11" s="94" t="s">
        <v>211</v>
      </c>
      <c r="H11" s="67">
        <v>880</v>
      </c>
      <c r="I11" s="67">
        <v>3.61</v>
      </c>
      <c r="J11" s="67">
        <v>0.89</v>
      </c>
      <c r="L11" s="94" t="s">
        <v>211</v>
      </c>
      <c r="M11" s="67">
        <v>880</v>
      </c>
      <c r="N11" s="67">
        <v>5.09</v>
      </c>
      <c r="O11" s="67">
        <v>1.22</v>
      </c>
    </row>
    <row r="12" spans="2:15" x14ac:dyDescent="0.2">
      <c r="B12" s="66" t="s">
        <v>225</v>
      </c>
      <c r="C12" s="93">
        <v>415.5</v>
      </c>
      <c r="D12" s="93">
        <f t="shared" si="0"/>
        <v>716.04499999999996</v>
      </c>
      <c r="E12">
        <v>2.8298239599999997E-2</v>
      </c>
    </row>
    <row r="13" spans="2:15" x14ac:dyDescent="0.2">
      <c r="B13" s="66" t="s">
        <v>226</v>
      </c>
      <c r="C13" s="93">
        <v>141.69999999999999</v>
      </c>
      <c r="D13" s="93">
        <f t="shared" si="0"/>
        <v>244.19633333333331</v>
      </c>
      <c r="E13">
        <v>0</v>
      </c>
    </row>
    <row r="14" spans="2:15" x14ac:dyDescent="0.2">
      <c r="B14" s="66" t="s">
        <v>227</v>
      </c>
      <c r="C14" s="93">
        <v>50.48</v>
      </c>
      <c r="D14" s="93">
        <f t="shared" si="0"/>
        <v>86.993866666666648</v>
      </c>
      <c r="E14">
        <v>9.7631553399999987E-2</v>
      </c>
    </row>
    <row r="15" spans="2:15" x14ac:dyDescent="0.2">
      <c r="B15" s="66" t="s">
        <v>228</v>
      </c>
      <c r="C15" s="93">
        <v>50.48</v>
      </c>
      <c r="D15" s="93">
        <f t="shared" si="0"/>
        <v>86.993866666666648</v>
      </c>
      <c r="E15">
        <v>0.1265126902</v>
      </c>
    </row>
    <row r="16" spans="2:15" x14ac:dyDescent="0.2">
      <c r="B16" s="66" t="s">
        <v>229</v>
      </c>
      <c r="C16" s="93">
        <v>32.9</v>
      </c>
      <c r="D16" s="93">
        <f t="shared" si="0"/>
        <v>56.697666666666663</v>
      </c>
      <c r="E16" s="117">
        <v>0.1265126902</v>
      </c>
    </row>
    <row r="17" spans="1:5" x14ac:dyDescent="0.2">
      <c r="B17" s="66" t="s">
        <v>230</v>
      </c>
      <c r="C17" s="93">
        <v>27.793333329999999</v>
      </c>
      <c r="D17" s="93">
        <f t="shared" si="0"/>
        <v>47.897177772033331</v>
      </c>
      <c r="E17" s="117">
        <v>0.1265126902</v>
      </c>
    </row>
    <row r="18" spans="1:5" x14ac:dyDescent="0.2">
      <c r="B18" s="66" t="s">
        <v>194</v>
      </c>
      <c r="C18" s="93">
        <v>0</v>
      </c>
      <c r="D18" s="93">
        <f t="shared" si="0"/>
        <v>0</v>
      </c>
      <c r="E18">
        <v>0</v>
      </c>
    </row>
    <row r="19" spans="1:5" x14ac:dyDescent="0.2">
      <c r="B19" s="66" t="s">
        <v>231</v>
      </c>
      <c r="C19" s="93">
        <v>32.9</v>
      </c>
      <c r="D19" s="93">
        <f t="shared" si="0"/>
        <v>56.697666666666663</v>
      </c>
      <c r="E19">
        <v>0</v>
      </c>
    </row>
    <row r="20" spans="1:5" x14ac:dyDescent="0.2">
      <c r="B20" s="94" t="s">
        <v>195</v>
      </c>
      <c r="C20" s="93">
        <v>0</v>
      </c>
      <c r="D20" s="93">
        <f t="shared" si="0"/>
        <v>0</v>
      </c>
      <c r="E20">
        <v>0</v>
      </c>
    </row>
    <row r="21" spans="1:5" x14ac:dyDescent="0.2">
      <c r="B21" s="66" t="s">
        <v>196</v>
      </c>
      <c r="C21" s="93">
        <v>0</v>
      </c>
      <c r="D21" s="93">
        <f t="shared" si="0"/>
        <v>0</v>
      </c>
      <c r="E21">
        <v>0</v>
      </c>
    </row>
    <row r="22" spans="1:5" x14ac:dyDescent="0.2">
      <c r="B22" s="100" t="s">
        <v>248</v>
      </c>
      <c r="C22" s="101">
        <f>AVERAGE(C14:C16)</f>
        <v>44.62</v>
      </c>
      <c r="D22" s="101">
        <f>AVERAGE(D14:D16)</f>
        <v>76.89513333333332</v>
      </c>
    </row>
    <row r="25" spans="1:5" x14ac:dyDescent="0.2">
      <c r="A25" t="s">
        <v>250</v>
      </c>
      <c r="B25" t="e">
        <f>VLOOKUP('2.Afforestation &amp; Reforestation'!D16,B4:D21,3,FALSE)</f>
        <v>#N/A</v>
      </c>
    </row>
    <row r="26" spans="1:5" x14ac:dyDescent="0.2">
      <c r="A26" t="s">
        <v>249</v>
      </c>
      <c r="B26" t="e">
        <f>VLOOKUP('2.Afforestation &amp; Reforestation'!D16,B4:D21,2,FALSE)</f>
        <v>#N/A</v>
      </c>
    </row>
    <row r="28" spans="1:5" x14ac:dyDescent="0.2">
      <c r="A28" t="s">
        <v>244</v>
      </c>
      <c r="B28" t="e">
        <f>B25</f>
        <v>#N/A</v>
      </c>
    </row>
    <row r="29" spans="1:5" x14ac:dyDescent="0.2">
      <c r="A29" s="49" t="s">
        <v>245</v>
      </c>
      <c r="B29" t="e">
        <f>B26*1.613*'2.Afforestation &amp; Reforestation'!O16*-1</f>
        <v>#N/A</v>
      </c>
    </row>
    <row r="30" spans="1:5" x14ac:dyDescent="0.2">
      <c r="A30" s="49" t="s">
        <v>246</v>
      </c>
      <c r="B30" t="e">
        <f>B26*1.613*'2.Afforestation &amp; Reforestation'!S16*-1</f>
        <v>#N/A</v>
      </c>
    </row>
    <row r="31" spans="1:5" x14ac:dyDescent="0.2">
      <c r="A31" t="s">
        <v>247</v>
      </c>
      <c r="B31" t="e">
        <f>B28/2</f>
        <v>#N/A</v>
      </c>
    </row>
    <row r="32" spans="1:5" x14ac:dyDescent="0.2">
      <c r="A32" t="s">
        <v>251</v>
      </c>
      <c r="B32">
        <f>IF('2.Afforestation &amp; Reforestation'!Q16=Sheet4!O7,B28,IF('2.Afforestation &amp; Reforestation'!Q16=Sheet4!O8,B29,IF('2.Afforestation &amp; Reforestation'!Q16=Sheet4!O9,Sheet6!B30,IF('2.Afforestation &amp; Reforestation'!Q16=Sheet4!O10,Sheet6!B31,0))))</f>
        <v>0</v>
      </c>
    </row>
    <row r="35" spans="1:9" x14ac:dyDescent="0.2">
      <c r="A35" s="365" t="s">
        <v>199</v>
      </c>
      <c r="B35" s="365"/>
      <c r="C35" s="365"/>
      <c r="D35" s="365"/>
      <c r="E35" s="365"/>
      <c r="F35" s="365"/>
      <c r="G35" s="365"/>
      <c r="H35" s="365"/>
      <c r="I35" s="365"/>
    </row>
    <row r="36" spans="1:9" ht="32" x14ac:dyDescent="0.2">
      <c r="A36" s="66"/>
      <c r="B36" s="110" t="s">
        <v>250</v>
      </c>
      <c r="C36" s="110" t="s">
        <v>249</v>
      </c>
      <c r="D36" s="110" t="s">
        <v>244</v>
      </c>
      <c r="E36" s="102" t="s">
        <v>245</v>
      </c>
      <c r="F36" s="102" t="s">
        <v>246</v>
      </c>
      <c r="G36" s="110" t="s">
        <v>247</v>
      </c>
      <c r="H36" s="110" t="s">
        <v>251</v>
      </c>
      <c r="I36" s="66"/>
    </row>
    <row r="37" spans="1:9" x14ac:dyDescent="0.2">
      <c r="A37" s="66" t="str">
        <f>'2.Afforestation &amp; Reforestation'!D16</f>
        <v>Please select</v>
      </c>
      <c r="B37" s="66" t="e">
        <f>VLOOKUP(A37,$B$4:$D$21,3,FALSE)</f>
        <v>#N/A</v>
      </c>
      <c r="C37" s="66" t="e">
        <f>VLOOKUP(A37,$B$4:$D$21,2,FALSE)</f>
        <v>#N/A</v>
      </c>
      <c r="D37" s="66" t="e">
        <f>B37</f>
        <v>#N/A</v>
      </c>
      <c r="E37" s="66" t="e">
        <f>C37*1.613*'2.Afforestation &amp; Reforestation'!O16*-1</f>
        <v>#N/A</v>
      </c>
      <c r="F37" s="66" t="e">
        <f>C37*1.613*'2.Afforestation &amp; Reforestation'!S16*-1</f>
        <v>#N/A</v>
      </c>
      <c r="G37" s="66" t="e">
        <f>D37/2</f>
        <v>#N/A</v>
      </c>
      <c r="H37" s="66">
        <f>IF(I37=Sheet4!$O$7,D37,IF(I37=Sheet4!$O$8,E37,IF(I37=Sheet4!$O$9,F37,IF(I37=Sheet4!$O$10,G37,0))))</f>
        <v>0</v>
      </c>
      <c r="I37" s="111" t="str">
        <f>'2.Afforestation &amp; Reforestation'!Q16</f>
        <v>Please select</v>
      </c>
    </row>
    <row r="38" spans="1:9" x14ac:dyDescent="0.2">
      <c r="A38" s="66" t="str">
        <f>'2.Afforestation &amp; Reforestation'!D17</f>
        <v>Please select</v>
      </c>
      <c r="B38" s="66" t="e">
        <f t="shared" ref="B38:B42" si="1">VLOOKUP(A38,$B$4:$D$21,3,FALSE)</f>
        <v>#N/A</v>
      </c>
      <c r="C38" s="66" t="e">
        <f t="shared" ref="C38:C42" si="2">VLOOKUP(A38,$B$4:$D$21,2,FALSE)</f>
        <v>#N/A</v>
      </c>
      <c r="D38" s="66" t="e">
        <f t="shared" ref="D38:D42" si="3">B38</f>
        <v>#N/A</v>
      </c>
      <c r="E38" s="66" t="e">
        <f>C38*1.613*'2.Afforestation &amp; Reforestation'!O17*-1</f>
        <v>#N/A</v>
      </c>
      <c r="F38" s="66" t="e">
        <f>C38*1.613*'2.Afforestation &amp; Reforestation'!S17*-1</f>
        <v>#N/A</v>
      </c>
      <c r="G38" s="66" t="e">
        <f t="shared" ref="G38:G42" si="4">D38/2</f>
        <v>#N/A</v>
      </c>
      <c r="H38" s="66">
        <f>IF(I38=Sheet4!$O$7,D38,IF(I38=Sheet4!$O$8,E38,IF(I38=Sheet4!$O$9,F38,IF(I38=Sheet4!$O$10,G38,0))))</f>
        <v>0</v>
      </c>
      <c r="I38" s="111" t="str">
        <f>'2.Afforestation &amp; Reforestation'!Q17</f>
        <v>Please select</v>
      </c>
    </row>
    <row r="39" spans="1:9" x14ac:dyDescent="0.2">
      <c r="A39" s="66" t="str">
        <f>'2.Afforestation &amp; Reforestation'!D18</f>
        <v>Please select</v>
      </c>
      <c r="B39" s="66" t="e">
        <f t="shared" si="1"/>
        <v>#N/A</v>
      </c>
      <c r="C39" s="66" t="e">
        <f t="shared" si="2"/>
        <v>#N/A</v>
      </c>
      <c r="D39" s="66" t="e">
        <f t="shared" si="3"/>
        <v>#N/A</v>
      </c>
      <c r="E39" s="66" t="e">
        <f>C39*1.613*'2.Afforestation &amp; Reforestation'!O18*-1</f>
        <v>#N/A</v>
      </c>
      <c r="F39" s="66" t="e">
        <f>C39*1.613*'2.Afforestation &amp; Reforestation'!S18*-1</f>
        <v>#N/A</v>
      </c>
      <c r="G39" s="66" t="e">
        <f t="shared" si="4"/>
        <v>#N/A</v>
      </c>
      <c r="H39" s="66">
        <f>IF(I39=Sheet4!$O$7,D39,IF(I39=Sheet4!$O$8,E39,IF(I39=Sheet4!$O$9,F39,IF(I39=Sheet4!$O$10,G39,0))))</f>
        <v>0</v>
      </c>
      <c r="I39" s="111" t="str">
        <f>'2.Afforestation &amp; Reforestation'!Q18</f>
        <v>Please select</v>
      </c>
    </row>
    <row r="40" spans="1:9" x14ac:dyDescent="0.2">
      <c r="A40" s="66" t="str">
        <f>'2.Afforestation &amp; Reforestation'!D19</f>
        <v>Please select</v>
      </c>
      <c r="B40" s="66" t="e">
        <f t="shared" si="1"/>
        <v>#N/A</v>
      </c>
      <c r="C40" s="66" t="e">
        <f t="shared" si="2"/>
        <v>#N/A</v>
      </c>
      <c r="D40" s="66" t="e">
        <f t="shared" si="3"/>
        <v>#N/A</v>
      </c>
      <c r="E40" s="66" t="e">
        <f>C40*1.613*'2.Afforestation &amp; Reforestation'!O19*-1</f>
        <v>#N/A</v>
      </c>
      <c r="F40" s="66" t="e">
        <f>C40*1.613*'2.Afforestation &amp; Reforestation'!S19*-1</f>
        <v>#N/A</v>
      </c>
      <c r="G40" s="66" t="e">
        <f t="shared" si="4"/>
        <v>#N/A</v>
      </c>
      <c r="H40" s="66">
        <f>IF(I40=Sheet4!$O$7,D40,IF(I40=Sheet4!$O$8,E40,IF(I40=Sheet4!$O$9,F40,IF(I40=Sheet4!$O$10,G40,0))))</f>
        <v>0</v>
      </c>
      <c r="I40" s="111" t="str">
        <f>'2.Afforestation &amp; Reforestation'!Q19</f>
        <v>Please select</v>
      </c>
    </row>
    <row r="41" spans="1:9" x14ac:dyDescent="0.2">
      <c r="A41" s="66" t="str">
        <f>'2.Afforestation &amp; Reforestation'!D20</f>
        <v>Please select</v>
      </c>
      <c r="B41" s="66" t="e">
        <f t="shared" si="1"/>
        <v>#N/A</v>
      </c>
      <c r="C41" s="66" t="e">
        <f t="shared" si="2"/>
        <v>#N/A</v>
      </c>
      <c r="D41" s="66" t="e">
        <f t="shared" si="3"/>
        <v>#N/A</v>
      </c>
      <c r="E41" s="66" t="e">
        <f>C41*1.613*'2.Afforestation &amp; Reforestation'!O20*-1</f>
        <v>#N/A</v>
      </c>
      <c r="F41" s="66" t="e">
        <f>C41*1.613*'2.Afforestation &amp; Reforestation'!S20*-1</f>
        <v>#N/A</v>
      </c>
      <c r="G41" s="66" t="e">
        <f t="shared" si="4"/>
        <v>#N/A</v>
      </c>
      <c r="H41" s="66">
        <f>IF(I41=Sheet4!$O$7,D41,IF(I41=Sheet4!$O$8,E41,IF(I41=Sheet4!$O$9,F41,IF(I41=Sheet4!$O$10,G41,0))))</f>
        <v>0</v>
      </c>
      <c r="I41" s="111" t="str">
        <f>'2.Afforestation &amp; Reforestation'!Q20</f>
        <v>Please select</v>
      </c>
    </row>
    <row r="42" spans="1:9" x14ac:dyDescent="0.2">
      <c r="A42" s="66" t="str">
        <f>'2.Afforestation &amp; Reforestation'!D21</f>
        <v>Please select</v>
      </c>
      <c r="B42" s="66" t="e">
        <f t="shared" si="1"/>
        <v>#N/A</v>
      </c>
      <c r="C42" s="66" t="e">
        <f t="shared" si="2"/>
        <v>#N/A</v>
      </c>
      <c r="D42" s="66" t="e">
        <f t="shared" si="3"/>
        <v>#N/A</v>
      </c>
      <c r="E42" s="66" t="e">
        <f>C42*1.613*'2.Afforestation &amp; Reforestation'!O21*-1</f>
        <v>#N/A</v>
      </c>
      <c r="F42" s="66" t="e">
        <f>C42*1.613*'2.Afforestation &amp; Reforestation'!S21*-1</f>
        <v>#N/A</v>
      </c>
      <c r="G42" s="66" t="e">
        <f t="shared" si="4"/>
        <v>#N/A</v>
      </c>
      <c r="H42" s="66">
        <f>IF(I42=Sheet4!$O$7,D42,IF(I42=Sheet4!$O$8,E42,IF(I42=Sheet4!$O$9,F42,IF(I42=Sheet4!$O$10,G42,0))))</f>
        <v>0</v>
      </c>
      <c r="I42" s="111" t="str">
        <f>'2.Afforestation &amp; Reforestation'!Q21</f>
        <v>Please select</v>
      </c>
    </row>
    <row r="45" spans="1:9" x14ac:dyDescent="0.2">
      <c r="A45" s="365" t="s">
        <v>346</v>
      </c>
      <c r="B45" s="365"/>
      <c r="C45" s="365"/>
      <c r="D45" s="365"/>
      <c r="E45" s="365"/>
      <c r="F45" s="365"/>
      <c r="G45" s="365"/>
      <c r="H45" s="365"/>
      <c r="I45" s="365"/>
    </row>
    <row r="46" spans="1:9" ht="32" x14ac:dyDescent="0.2">
      <c r="A46" s="66"/>
      <c r="B46" s="110" t="s">
        <v>250</v>
      </c>
      <c r="C46" s="110" t="s">
        <v>249</v>
      </c>
      <c r="D46" s="110" t="s">
        <v>244</v>
      </c>
      <c r="E46" s="102" t="s">
        <v>245</v>
      </c>
      <c r="F46" s="102" t="s">
        <v>246</v>
      </c>
      <c r="G46" s="110" t="s">
        <v>247</v>
      </c>
      <c r="H46" s="110" t="s">
        <v>251</v>
      </c>
      <c r="I46" s="66"/>
    </row>
    <row r="47" spans="1:9" x14ac:dyDescent="0.2">
      <c r="A47" s="66" t="str">
        <f>'2.Afforestation &amp; Reforestation'!D34</f>
        <v>Please select</v>
      </c>
      <c r="B47" s="66" t="e">
        <f>VLOOKUP(A47,$B$4:$D$21,3,FALSE)</f>
        <v>#N/A</v>
      </c>
      <c r="C47" s="66" t="e">
        <f>VLOOKUP(A47,$B$4:$D$21,2,FALSE)</f>
        <v>#N/A</v>
      </c>
      <c r="D47" s="66" t="e">
        <f>B47</f>
        <v>#N/A</v>
      </c>
      <c r="E47" s="66" t="e">
        <f>C47*1.613*'2.Afforestation &amp; Reforestation'!O34*-1</f>
        <v>#N/A</v>
      </c>
      <c r="F47" s="66" t="e">
        <f>C47*1.613*'2.Afforestation &amp; Reforestation'!S34*-1</f>
        <v>#N/A</v>
      </c>
      <c r="G47" s="66" t="e">
        <f>D47/2</f>
        <v>#N/A</v>
      </c>
      <c r="H47" s="66">
        <f>IF(I47=Sheet4!$O$7,D47,IF(I47=Sheet4!$O$8,E47,IF(I47=Sheet4!$O$9,F47,IF(I37=Sheet4!$O$10,G47,0))))</f>
        <v>0</v>
      </c>
      <c r="I47" s="111" t="str">
        <f>'2.Afforestation &amp; Reforestation'!Q34</f>
        <v>Please select</v>
      </c>
    </row>
    <row r="48" spans="1:9" x14ac:dyDescent="0.2">
      <c r="A48" s="66" t="str">
        <f>'2.Afforestation &amp; Reforestation'!D35</f>
        <v>Please select</v>
      </c>
      <c r="B48" s="66" t="e">
        <f t="shared" ref="B48:B52" si="5">VLOOKUP(A48,$B$4:$D$21,3,FALSE)</f>
        <v>#N/A</v>
      </c>
      <c r="C48" s="66" t="e">
        <f t="shared" ref="C48:C52" si="6">VLOOKUP(A48,$B$4:$D$21,2,FALSE)</f>
        <v>#N/A</v>
      </c>
      <c r="D48" s="66" t="e">
        <f t="shared" ref="D48:D52" si="7">B48</f>
        <v>#N/A</v>
      </c>
      <c r="E48" s="66" t="e">
        <f>C48*1.613*'2.Afforestation &amp; Reforestation'!O17*-1</f>
        <v>#N/A</v>
      </c>
      <c r="F48" s="66" t="e">
        <f>C48*1.613*'2.Afforestation &amp; Reforestation'!S35*-1</f>
        <v>#N/A</v>
      </c>
      <c r="G48" s="66" t="e">
        <f t="shared" ref="G48:G52" si="8">D48/2</f>
        <v>#N/A</v>
      </c>
      <c r="H48" s="66">
        <f>IF(I48=Sheet4!$O$7,D48,IF(I48=Sheet4!$O$8,E48,IF(I48=Sheet4!$O$9,F48,IF(I38=Sheet4!$O$10,G48,0))))</f>
        <v>0</v>
      </c>
      <c r="I48" s="111" t="str">
        <f>'2.Afforestation &amp; Reforestation'!Q35</f>
        <v>Please select</v>
      </c>
    </row>
    <row r="49" spans="1:9" x14ac:dyDescent="0.2">
      <c r="A49" s="66" t="str">
        <f>'2.Afforestation &amp; Reforestation'!D36</f>
        <v>Please select</v>
      </c>
      <c r="B49" s="66" t="e">
        <f t="shared" si="5"/>
        <v>#N/A</v>
      </c>
      <c r="C49" s="66" t="e">
        <f t="shared" si="6"/>
        <v>#N/A</v>
      </c>
      <c r="D49" s="66" t="e">
        <f t="shared" si="7"/>
        <v>#N/A</v>
      </c>
      <c r="E49" s="66" t="e">
        <f>C49*1.613*'2.Afforestation &amp; Reforestation'!O18*-1</f>
        <v>#N/A</v>
      </c>
      <c r="F49" s="66" t="e">
        <f>C49*1.613*'2.Afforestation &amp; Reforestation'!S36*-1</f>
        <v>#N/A</v>
      </c>
      <c r="G49" s="66" t="e">
        <f t="shared" si="8"/>
        <v>#N/A</v>
      </c>
      <c r="H49" s="66">
        <f>IF(I49=Sheet4!$O$7,D49,IF(I49=Sheet4!$O$8,E49,IF(I49=Sheet4!$O$9,F49,IF(I39=Sheet4!$O$10,G49,0))))</f>
        <v>0</v>
      </c>
      <c r="I49" s="111" t="str">
        <f>'2.Afforestation &amp; Reforestation'!Q36</f>
        <v>Please select</v>
      </c>
    </row>
    <row r="50" spans="1:9" x14ac:dyDescent="0.2">
      <c r="A50" s="66" t="str">
        <f>'2.Afforestation &amp; Reforestation'!D37</f>
        <v>Please select</v>
      </c>
      <c r="B50" s="66" t="e">
        <f t="shared" si="5"/>
        <v>#N/A</v>
      </c>
      <c r="C50" s="66" t="e">
        <f t="shared" si="6"/>
        <v>#N/A</v>
      </c>
      <c r="D50" s="66" t="e">
        <f t="shared" si="7"/>
        <v>#N/A</v>
      </c>
      <c r="E50" s="66" t="e">
        <f>C50*1.613*'2.Afforestation &amp; Reforestation'!O19*-1</f>
        <v>#N/A</v>
      </c>
      <c r="F50" s="66" t="e">
        <f>C50*1.613*'2.Afforestation &amp; Reforestation'!S37*-1</f>
        <v>#N/A</v>
      </c>
      <c r="G50" s="66" t="e">
        <f t="shared" si="8"/>
        <v>#N/A</v>
      </c>
      <c r="H50" s="66">
        <f>IF(I50=Sheet4!$O$7,D50,IF(I50=Sheet4!$O$8,E50,IF(I50=Sheet4!$O$9,F50,IF(I40=Sheet4!$O$10,G50,0))))</f>
        <v>0</v>
      </c>
      <c r="I50" s="111" t="str">
        <f>'2.Afforestation &amp; Reforestation'!Q37</f>
        <v>Please select</v>
      </c>
    </row>
    <row r="51" spans="1:9" x14ac:dyDescent="0.2">
      <c r="A51" s="66" t="str">
        <f>'2.Afforestation &amp; Reforestation'!D38</f>
        <v>Please select</v>
      </c>
      <c r="B51" s="66" t="e">
        <f t="shared" si="5"/>
        <v>#N/A</v>
      </c>
      <c r="C51" s="66" t="e">
        <f t="shared" si="6"/>
        <v>#N/A</v>
      </c>
      <c r="D51" s="66" t="e">
        <f t="shared" si="7"/>
        <v>#N/A</v>
      </c>
      <c r="E51" s="66" t="e">
        <f>C51*1.613*'2.Afforestation &amp; Reforestation'!O20*-1</f>
        <v>#N/A</v>
      </c>
      <c r="F51" s="66" t="e">
        <f>C51*1.613*'2.Afforestation &amp; Reforestation'!S38*-1</f>
        <v>#N/A</v>
      </c>
      <c r="G51" s="66" t="e">
        <f t="shared" si="8"/>
        <v>#N/A</v>
      </c>
      <c r="H51" s="66">
        <f>IF(I51=Sheet4!$O$7,D51,IF(I51=Sheet4!$O$8,E51,IF(I51=Sheet4!$O$9,F51,IF(I41=Sheet4!$O$10,G51,0))))</f>
        <v>0</v>
      </c>
      <c r="I51" s="111" t="str">
        <f>'2.Afforestation &amp; Reforestation'!Q38</f>
        <v>Please select</v>
      </c>
    </row>
    <row r="52" spans="1:9" x14ac:dyDescent="0.2">
      <c r="A52" s="66" t="str">
        <f>'2.Afforestation &amp; Reforestation'!D39</f>
        <v>Please select</v>
      </c>
      <c r="B52" s="66" t="e">
        <f t="shared" si="5"/>
        <v>#N/A</v>
      </c>
      <c r="C52" s="66" t="e">
        <f t="shared" si="6"/>
        <v>#N/A</v>
      </c>
      <c r="D52" s="66" t="e">
        <f t="shared" si="7"/>
        <v>#N/A</v>
      </c>
      <c r="E52" s="66" t="e">
        <f>C52*1.613*'2.Afforestation &amp; Reforestation'!O21*-1</f>
        <v>#N/A</v>
      </c>
      <c r="F52" s="66" t="e">
        <f>C52*1.613*'2.Afforestation &amp; Reforestation'!S39*-1</f>
        <v>#N/A</v>
      </c>
      <c r="G52" s="66" t="e">
        <f t="shared" si="8"/>
        <v>#N/A</v>
      </c>
      <c r="H52" s="66">
        <f>IF(I52=Sheet4!$O$7,D52,IF(I52=Sheet4!$O$8,E52,IF(I52=Sheet4!$O$9,F52,IF(I42=Sheet4!$O$10,G52,0))))</f>
        <v>0</v>
      </c>
      <c r="I52" s="111" t="str">
        <f>'2.Afforestation &amp; Reforestation'!Q39</f>
        <v>Please select</v>
      </c>
    </row>
    <row r="56" spans="1:9" x14ac:dyDescent="0.2">
      <c r="B56" t="s">
        <v>401</v>
      </c>
      <c r="C56" t="s">
        <v>404</v>
      </c>
      <c r="D56" t="s">
        <v>406</v>
      </c>
      <c r="E56" t="s">
        <v>405</v>
      </c>
    </row>
    <row r="57" spans="1:9" ht="32" x14ac:dyDescent="0.2">
      <c r="B57" t="s">
        <v>402</v>
      </c>
      <c r="C57" s="48" t="s">
        <v>407</v>
      </c>
      <c r="D57" s="50" t="s">
        <v>409</v>
      </c>
      <c r="E57" s="50">
        <v>108.9</v>
      </c>
    </row>
    <row r="58" spans="1:9" ht="32" x14ac:dyDescent="0.2">
      <c r="B58" t="s">
        <v>403</v>
      </c>
      <c r="C58" s="48" t="s">
        <v>408</v>
      </c>
      <c r="D58" s="50" t="s">
        <v>409</v>
      </c>
      <c r="E58" s="50">
        <v>46.77</v>
      </c>
    </row>
    <row r="59" spans="1:9" ht="32" x14ac:dyDescent="0.2">
      <c r="B59" t="s">
        <v>403</v>
      </c>
      <c r="C59" s="48" t="s">
        <v>416</v>
      </c>
      <c r="D59" s="50" t="s">
        <v>409</v>
      </c>
      <c r="E59" s="50">
        <v>64.48</v>
      </c>
    </row>
    <row r="60" spans="1:9" ht="32" x14ac:dyDescent="0.2">
      <c r="B60" t="s">
        <v>403</v>
      </c>
      <c r="C60" s="48" t="s">
        <v>410</v>
      </c>
      <c r="D60" s="50" t="s">
        <v>409</v>
      </c>
      <c r="E60" s="50">
        <v>43.17</v>
      </c>
    </row>
    <row r="61" spans="1:9" ht="16" x14ac:dyDescent="0.2">
      <c r="B61" t="s">
        <v>403</v>
      </c>
      <c r="C61" s="48" t="s">
        <v>411</v>
      </c>
      <c r="D61" s="50" t="s">
        <v>409</v>
      </c>
      <c r="E61" s="50">
        <v>301.3</v>
      </c>
    </row>
    <row r="62" spans="1:9" ht="32" x14ac:dyDescent="0.2">
      <c r="B62" t="s">
        <v>403</v>
      </c>
      <c r="C62" s="48" t="s">
        <v>417</v>
      </c>
      <c r="D62" s="50" t="s">
        <v>409</v>
      </c>
      <c r="E62" s="50">
        <v>480</v>
      </c>
    </row>
    <row r="63" spans="1:9" ht="32" x14ac:dyDescent="0.2">
      <c r="B63" t="s">
        <v>412</v>
      </c>
      <c r="C63" s="48" t="s">
        <v>418</v>
      </c>
      <c r="D63" s="50" t="s">
        <v>409</v>
      </c>
      <c r="E63" s="50">
        <v>100.98</v>
      </c>
    </row>
    <row r="64" spans="1:9" ht="32" x14ac:dyDescent="0.2">
      <c r="C64" s="48" t="s">
        <v>419</v>
      </c>
      <c r="D64" s="50" t="s">
        <v>409</v>
      </c>
      <c r="E64" s="50">
        <v>136.46</v>
      </c>
    </row>
    <row r="65" spans="3:6" ht="32" x14ac:dyDescent="0.2">
      <c r="C65" s="48" t="s">
        <v>420</v>
      </c>
      <c r="D65" s="50" t="s">
        <v>409</v>
      </c>
      <c r="E65" s="50">
        <v>185.59</v>
      </c>
    </row>
    <row r="66" spans="3:6" ht="32" x14ac:dyDescent="0.2">
      <c r="C66" s="48" t="s">
        <v>421</v>
      </c>
      <c r="D66" s="50" t="s">
        <v>409</v>
      </c>
      <c r="E66" s="50">
        <v>38.21</v>
      </c>
    </row>
    <row r="67" spans="3:6" x14ac:dyDescent="0.2">
      <c r="C67" s="48"/>
      <c r="D67" s="50"/>
      <c r="E67" s="50"/>
    </row>
    <row r="70" spans="3:6" ht="32" x14ac:dyDescent="0.2">
      <c r="D70" s="48" t="s">
        <v>446</v>
      </c>
      <c r="E70" s="48" t="s">
        <v>447</v>
      </c>
      <c r="F70" s="48" t="s">
        <v>448</v>
      </c>
    </row>
    <row r="71" spans="3:6" x14ac:dyDescent="0.2">
      <c r="C71" s="49" t="s">
        <v>202</v>
      </c>
      <c r="D71">
        <v>2.75</v>
      </c>
      <c r="E71">
        <v>0.59</v>
      </c>
      <c r="F71">
        <v>27.3</v>
      </c>
    </row>
    <row r="72" spans="3:6" x14ac:dyDescent="0.2">
      <c r="C72" s="49" t="s">
        <v>203</v>
      </c>
      <c r="D72">
        <v>0.47</v>
      </c>
      <c r="E72">
        <v>0.11</v>
      </c>
      <c r="F72">
        <v>27.3</v>
      </c>
    </row>
    <row r="73" spans="3:6" x14ac:dyDescent="0.2">
      <c r="C73" s="49" t="s">
        <v>204</v>
      </c>
      <c r="D73">
        <v>2.98</v>
      </c>
      <c r="E73">
        <v>0.72</v>
      </c>
      <c r="F73">
        <v>27.3</v>
      </c>
    </row>
    <row r="74" spans="3:6" x14ac:dyDescent="0.2">
      <c r="C74" s="49" t="s">
        <v>205</v>
      </c>
      <c r="D74">
        <v>2.4</v>
      </c>
      <c r="E74">
        <v>0</v>
      </c>
      <c r="F74">
        <v>27.3</v>
      </c>
    </row>
    <row r="75" spans="3:6" x14ac:dyDescent="0.2">
      <c r="C75" s="49" t="s">
        <v>206</v>
      </c>
      <c r="D75">
        <v>0.59</v>
      </c>
      <c r="E75">
        <v>0.21</v>
      </c>
      <c r="F75">
        <v>27.3</v>
      </c>
    </row>
    <row r="76" spans="3:6" x14ac:dyDescent="0.2">
      <c r="C76" s="49" t="s">
        <v>207</v>
      </c>
      <c r="D76">
        <v>5.3</v>
      </c>
      <c r="E76">
        <v>1.27</v>
      </c>
      <c r="F76">
        <v>27.3</v>
      </c>
    </row>
    <row r="77" spans="3:6" x14ac:dyDescent="0.2">
      <c r="C77" s="49" t="s">
        <v>208</v>
      </c>
      <c r="D77">
        <v>3</v>
      </c>
      <c r="E77">
        <v>0</v>
      </c>
      <c r="F77">
        <v>27.3</v>
      </c>
    </row>
    <row r="78" spans="3:6" x14ac:dyDescent="0.2">
      <c r="C78" s="49" t="s">
        <v>209</v>
      </c>
      <c r="D78">
        <v>1.82</v>
      </c>
      <c r="E78">
        <v>0.44</v>
      </c>
      <c r="F78">
        <v>27.3</v>
      </c>
    </row>
    <row r="79" spans="3:6" x14ac:dyDescent="0.2">
      <c r="C79" s="49" t="s">
        <v>211</v>
      </c>
      <c r="D79">
        <v>5.09</v>
      </c>
      <c r="E79">
        <v>1.22</v>
      </c>
      <c r="F79">
        <v>27.3</v>
      </c>
    </row>
    <row r="80" spans="3:6" x14ac:dyDescent="0.2">
      <c r="C80" s="49" t="s">
        <v>210</v>
      </c>
      <c r="D80">
        <v>2.91</v>
      </c>
      <c r="E80">
        <v>0.79</v>
      </c>
      <c r="F80">
        <v>27.3</v>
      </c>
    </row>
    <row r="81" spans="3:6" x14ac:dyDescent="0.2">
      <c r="C81" s="49" t="s">
        <v>212</v>
      </c>
      <c r="D81">
        <v>0.7</v>
      </c>
      <c r="E81">
        <v>0</v>
      </c>
      <c r="F81">
        <v>27.3</v>
      </c>
    </row>
    <row r="84" spans="3:6" x14ac:dyDescent="0.2">
      <c r="C84" s="49" t="s">
        <v>427</v>
      </c>
      <c r="D84">
        <v>1</v>
      </c>
    </row>
    <row r="85" spans="3:6" x14ac:dyDescent="0.2">
      <c r="C85" s="49" t="s">
        <v>428</v>
      </c>
      <c r="D85">
        <v>1.04</v>
      </c>
    </row>
    <row r="86" spans="3:6" x14ac:dyDescent="0.2">
      <c r="C86" s="49" t="s">
        <v>429</v>
      </c>
      <c r="D86">
        <v>1.1000000000000001</v>
      </c>
    </row>
    <row r="88" spans="3:6" x14ac:dyDescent="0.2">
      <c r="C88" s="49" t="s">
        <v>431</v>
      </c>
      <c r="D88">
        <v>0.92</v>
      </c>
    </row>
    <row r="89" spans="3:6" x14ac:dyDescent="0.2">
      <c r="C89" s="49" t="s">
        <v>432</v>
      </c>
      <c r="D89">
        <v>1</v>
      </c>
    </row>
    <row r="90" spans="3:6" x14ac:dyDescent="0.2">
      <c r="C90" s="49" t="s">
        <v>433</v>
      </c>
      <c r="D90">
        <v>1.1100000000000001</v>
      </c>
    </row>
    <row r="91" spans="3:6" x14ac:dyDescent="0.2">
      <c r="C91" s="49" t="s">
        <v>434</v>
      </c>
      <c r="D91">
        <v>1.44</v>
      </c>
    </row>
    <row r="93" spans="3:6" x14ac:dyDescent="0.2">
      <c r="C93" s="49" t="s">
        <v>436</v>
      </c>
      <c r="D93">
        <v>2.2599999999999998</v>
      </c>
    </row>
    <row r="94" spans="3:6" x14ac:dyDescent="0.2">
      <c r="C94" s="49" t="s">
        <v>437</v>
      </c>
      <c r="D94">
        <v>2.2599999999999998</v>
      </c>
    </row>
    <row r="95" spans="3:6" x14ac:dyDescent="0.2">
      <c r="C95" s="49" t="s">
        <v>438</v>
      </c>
      <c r="D95">
        <v>2.2599999999999998</v>
      </c>
    </row>
  </sheetData>
  <mergeCells count="5">
    <mergeCell ref="A35:I35"/>
    <mergeCell ref="A45:I45"/>
    <mergeCell ref="G2:J2"/>
    <mergeCell ref="B2:D2"/>
    <mergeCell ref="L2:O2"/>
  </mergeCells>
  <phoneticPr fontId="1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FC8B9-781B-4D32-BBFA-FC17E5B58CCF}">
  <dimension ref="B2:F88"/>
  <sheetViews>
    <sheetView workbookViewId="0">
      <selection activeCell="E4" sqref="E4"/>
    </sheetView>
  </sheetViews>
  <sheetFormatPr baseColWidth="10" defaultColWidth="8.83203125" defaultRowHeight="15" x14ac:dyDescent="0.2"/>
  <cols>
    <col min="2" max="2" width="29.1640625" bestFit="1" customWidth="1"/>
    <col min="3" max="3" width="11.6640625" customWidth="1"/>
    <col min="4" max="4" width="15" customWidth="1"/>
    <col min="5" max="5" width="20.5" customWidth="1"/>
    <col min="6" max="6" width="12" bestFit="1" customWidth="1"/>
    <col min="8" max="8" width="12" bestFit="1" customWidth="1"/>
  </cols>
  <sheetData>
    <row r="2" spans="2:6" ht="32" x14ac:dyDescent="0.2">
      <c r="B2" s="109" t="s">
        <v>258</v>
      </c>
      <c r="C2" s="103" t="s">
        <v>259</v>
      </c>
      <c r="D2" s="103" t="s">
        <v>260</v>
      </c>
      <c r="E2" s="103" t="s">
        <v>233</v>
      </c>
    </row>
    <row r="3" spans="2:6" x14ac:dyDescent="0.2">
      <c r="B3" s="10" t="s">
        <v>33</v>
      </c>
      <c r="C3" s="105"/>
      <c r="D3" s="105"/>
      <c r="E3" s="105"/>
    </row>
    <row r="4" spans="2:6" x14ac:dyDescent="0.2">
      <c r="B4" s="104" t="s">
        <v>262</v>
      </c>
      <c r="C4" s="96">
        <v>12.33</v>
      </c>
      <c r="D4" s="96">
        <v>0.69299999999999995</v>
      </c>
      <c r="E4" s="106">
        <f>((0.0673*D4*((C4/10)^2.6))/1000)*2500</f>
        <v>0.20099826408049667</v>
      </c>
      <c r="F4">
        <f>((0.0509*D4*(C4/10)^2.3)/1000)*2000</f>
        <v>0.11420788495097489</v>
      </c>
    </row>
    <row r="5" spans="2:6" x14ac:dyDescent="0.2">
      <c r="B5" s="104" t="s">
        <v>263</v>
      </c>
      <c r="C5" s="96">
        <v>5.665</v>
      </c>
      <c r="D5" s="96">
        <v>0.73099999999999998</v>
      </c>
      <c r="E5" s="106">
        <f t="shared" ref="E5:E68" si="0">((0.0673*D5*((C5/10)^2.6))/1000)*2500</f>
        <v>2.8066756496302001E-2</v>
      </c>
      <c r="F5">
        <f t="shared" ref="F5:F68" si="1">((0.0509*D5*(C5/10)^2.3)/1000)*2000</f>
        <v>2.0138399759544623E-2</v>
      </c>
    </row>
    <row r="6" spans="2:6" x14ac:dyDescent="0.2">
      <c r="B6" s="104" t="s">
        <v>264</v>
      </c>
      <c r="C6" s="96">
        <v>29.28</v>
      </c>
      <c r="D6" s="96">
        <v>0.49399999999999999</v>
      </c>
      <c r="E6" s="106">
        <f t="shared" si="0"/>
        <v>1.3575843098569831</v>
      </c>
      <c r="F6">
        <f t="shared" si="1"/>
        <v>0.59509759264639328</v>
      </c>
    </row>
    <row r="7" spans="2:6" x14ac:dyDescent="0.2">
      <c r="B7" s="104" t="s">
        <v>265</v>
      </c>
      <c r="C7" s="96">
        <v>10.39</v>
      </c>
      <c r="D7" s="96">
        <v>0.49399999999999999</v>
      </c>
      <c r="E7" s="106">
        <f t="shared" si="0"/>
        <v>9.1808405648677954E-2</v>
      </c>
      <c r="F7">
        <f t="shared" si="1"/>
        <v>5.4914936570532147E-2</v>
      </c>
    </row>
    <row r="8" spans="2:6" x14ac:dyDescent="0.2">
      <c r="B8" s="104" t="s">
        <v>266</v>
      </c>
      <c r="C8" s="96">
        <v>26.91</v>
      </c>
      <c r="D8" s="96">
        <v>0.32100000000000001</v>
      </c>
      <c r="E8" s="106">
        <f t="shared" si="0"/>
        <v>0.70833013629129937</v>
      </c>
      <c r="F8">
        <f t="shared" si="1"/>
        <v>0.31845957799268865</v>
      </c>
    </row>
    <row r="9" spans="2:6" x14ac:dyDescent="0.2">
      <c r="B9" s="104" t="s">
        <v>267</v>
      </c>
      <c r="C9" s="96">
        <v>2.23</v>
      </c>
      <c r="D9" s="96">
        <v>0.67300000000000004</v>
      </c>
      <c r="E9" s="106">
        <f t="shared" si="0"/>
        <v>2.2885625192838269E-3</v>
      </c>
      <c r="F9">
        <f t="shared" si="1"/>
        <v>2.1720210368051896E-3</v>
      </c>
    </row>
    <row r="10" spans="2:6" x14ac:dyDescent="0.2">
      <c r="B10" s="104" t="s">
        <v>268</v>
      </c>
      <c r="C10" s="96">
        <v>8.9599999999999991</v>
      </c>
      <c r="D10" s="96">
        <v>0.61699999999999999</v>
      </c>
      <c r="E10" s="106">
        <f t="shared" si="0"/>
        <v>7.8026308776773856E-2</v>
      </c>
      <c r="F10">
        <f t="shared" si="1"/>
        <v>4.8791184801244655E-2</v>
      </c>
    </row>
    <row r="11" spans="2:6" x14ac:dyDescent="0.2">
      <c r="B11" s="104" t="s">
        <v>269</v>
      </c>
      <c r="C11" s="96">
        <v>6.02</v>
      </c>
      <c r="D11" s="96">
        <v>0.52900000000000003</v>
      </c>
      <c r="E11" s="106">
        <f t="shared" si="0"/>
        <v>2.3788202246579206E-2</v>
      </c>
      <c r="F11">
        <f t="shared" si="1"/>
        <v>1.6760052701735612E-2</v>
      </c>
    </row>
    <row r="12" spans="2:6" x14ac:dyDescent="0.2">
      <c r="B12" s="104" t="s">
        <v>270</v>
      </c>
      <c r="C12" s="96">
        <v>13.19</v>
      </c>
      <c r="D12" s="96">
        <v>0.52600000000000002</v>
      </c>
      <c r="E12" s="106">
        <f t="shared" si="0"/>
        <v>0.18179305396347314</v>
      </c>
      <c r="F12">
        <f t="shared" si="1"/>
        <v>0.10122704330238261</v>
      </c>
    </row>
    <row r="13" spans="2:6" x14ac:dyDescent="0.2">
      <c r="B13" s="104" t="s">
        <v>271</v>
      </c>
      <c r="C13" s="96">
        <v>3.66</v>
      </c>
      <c r="D13" s="96">
        <v>0.52600000000000002</v>
      </c>
      <c r="E13" s="106">
        <f t="shared" si="0"/>
        <v>6.4862194632647726E-3</v>
      </c>
      <c r="F13">
        <f t="shared" si="1"/>
        <v>5.3056673630705589E-3</v>
      </c>
    </row>
    <row r="14" spans="2:6" x14ac:dyDescent="0.2">
      <c r="B14" s="104" t="s">
        <v>272</v>
      </c>
      <c r="C14" s="96">
        <v>3.18</v>
      </c>
      <c r="D14" s="96">
        <v>0.48199999999999998</v>
      </c>
      <c r="E14" s="106">
        <f t="shared" si="0"/>
        <v>4.1239427069588129E-3</v>
      </c>
      <c r="F14">
        <f t="shared" si="1"/>
        <v>3.5186590943191006E-3</v>
      </c>
    </row>
    <row r="15" spans="2:6" x14ac:dyDescent="0.2">
      <c r="B15" s="104" t="s">
        <v>273</v>
      </c>
      <c r="C15" s="96">
        <v>8.9775000000000009</v>
      </c>
      <c r="D15" s="96">
        <v>0.378</v>
      </c>
      <c r="E15" s="106">
        <f t="shared" si="0"/>
        <v>4.8045304325469634E-2</v>
      </c>
      <c r="F15">
        <f t="shared" si="1"/>
        <v>3.0025968840507244E-2</v>
      </c>
    </row>
    <row r="16" spans="2:6" x14ac:dyDescent="0.2">
      <c r="B16" s="104" t="s">
        <v>274</v>
      </c>
      <c r="C16" s="96">
        <v>4.2824999999999998</v>
      </c>
      <c r="D16" s="96">
        <v>0.77700000000000002</v>
      </c>
      <c r="E16" s="106">
        <f t="shared" si="0"/>
        <v>1.4414157326577333E-2</v>
      </c>
      <c r="F16">
        <f t="shared" si="1"/>
        <v>1.1247933798341032E-2</v>
      </c>
    </row>
    <row r="17" spans="2:6" x14ac:dyDescent="0.2">
      <c r="B17" s="104" t="s">
        <v>275</v>
      </c>
      <c r="C17" s="96">
        <v>6.1475</v>
      </c>
      <c r="D17" s="96">
        <v>0.72499999999999998</v>
      </c>
      <c r="E17" s="106">
        <f t="shared" si="0"/>
        <v>3.442780042514542E-2</v>
      </c>
      <c r="F17">
        <f t="shared" si="1"/>
        <v>2.4104183263976075E-2</v>
      </c>
    </row>
    <row r="18" spans="2:6" x14ac:dyDescent="0.2">
      <c r="B18" s="104" t="s">
        <v>276</v>
      </c>
      <c r="C18" s="96">
        <v>2.8250000000000002</v>
      </c>
      <c r="D18" s="96">
        <v>0.73799999999999999</v>
      </c>
      <c r="E18" s="106">
        <f t="shared" si="0"/>
        <v>4.6415112809782728E-3</v>
      </c>
      <c r="F18">
        <f t="shared" si="1"/>
        <v>4.1034257533262104E-3</v>
      </c>
    </row>
    <row r="19" spans="2:6" x14ac:dyDescent="0.2">
      <c r="B19" s="104" t="s">
        <v>277</v>
      </c>
      <c r="C19" s="96">
        <v>13.85</v>
      </c>
      <c r="D19" s="96">
        <v>0.60199999999999998</v>
      </c>
      <c r="E19" s="106">
        <f t="shared" si="0"/>
        <v>0.2362223441951333</v>
      </c>
      <c r="F19">
        <f t="shared" si="1"/>
        <v>0.12962200894590559</v>
      </c>
    </row>
    <row r="20" spans="2:6" x14ac:dyDescent="0.2">
      <c r="B20" s="104" t="s">
        <v>278</v>
      </c>
      <c r="C20" s="96">
        <v>12.254999999999999</v>
      </c>
      <c r="D20" s="96">
        <v>0.626</v>
      </c>
      <c r="E20" s="106">
        <f t="shared" si="0"/>
        <v>0.17870801323796243</v>
      </c>
      <c r="F20">
        <f t="shared" si="1"/>
        <v>0.10172852254490057</v>
      </c>
    </row>
    <row r="21" spans="2:6" x14ac:dyDescent="0.2">
      <c r="B21" s="104" t="s">
        <v>279</v>
      </c>
      <c r="C21" s="96">
        <v>3.6166666666666667</v>
      </c>
      <c r="D21" s="96">
        <v>0.87</v>
      </c>
      <c r="E21" s="106">
        <f t="shared" si="0"/>
        <v>1.0401030802227967E-2</v>
      </c>
      <c r="F21">
        <f t="shared" si="1"/>
        <v>8.5384009077277452E-3</v>
      </c>
    </row>
    <row r="22" spans="2:6" x14ac:dyDescent="0.2">
      <c r="B22" s="104" t="s">
        <v>280</v>
      </c>
      <c r="C22" s="96">
        <v>30.55</v>
      </c>
      <c r="D22" s="96">
        <v>0.32400000000000001</v>
      </c>
      <c r="E22" s="106">
        <f t="shared" si="0"/>
        <v>0.99432701964460024</v>
      </c>
      <c r="F22">
        <f t="shared" si="1"/>
        <v>0.43034680374445838</v>
      </c>
    </row>
    <row r="23" spans="2:6" x14ac:dyDescent="0.2">
      <c r="B23" s="104" t="s">
        <v>281</v>
      </c>
      <c r="C23" s="96">
        <v>11.01</v>
      </c>
      <c r="D23" s="96">
        <v>0.40899999999999997</v>
      </c>
      <c r="E23" s="106">
        <f t="shared" si="0"/>
        <v>8.8374182667077417E-2</v>
      </c>
      <c r="F23">
        <f t="shared" si="1"/>
        <v>5.1949565514620336E-2</v>
      </c>
    </row>
    <row r="24" spans="2:6" x14ac:dyDescent="0.2">
      <c r="B24" s="104" t="s">
        <v>282</v>
      </c>
      <c r="C24" s="96">
        <v>9.84</v>
      </c>
      <c r="D24" s="96">
        <v>0.28100000000000003</v>
      </c>
      <c r="E24" s="106">
        <f t="shared" si="0"/>
        <v>4.5336568833972059E-2</v>
      </c>
      <c r="F24">
        <f t="shared" si="1"/>
        <v>2.7564037005641313E-2</v>
      </c>
    </row>
    <row r="25" spans="2:6" x14ac:dyDescent="0.2">
      <c r="B25" s="104" t="s">
        <v>283</v>
      </c>
      <c r="C25" s="96">
        <v>11.38</v>
      </c>
      <c r="D25" s="96">
        <v>0.61699999999999999</v>
      </c>
      <c r="E25" s="106">
        <f t="shared" si="0"/>
        <v>0.14528143412782837</v>
      </c>
      <c r="F25">
        <f t="shared" si="1"/>
        <v>8.455905966396865E-2</v>
      </c>
    </row>
    <row r="26" spans="2:6" x14ac:dyDescent="0.2">
      <c r="B26" s="104" t="s">
        <v>284</v>
      </c>
      <c r="C26" s="96">
        <v>6.5299999999999994</v>
      </c>
      <c r="D26" s="96">
        <v>0.61</v>
      </c>
      <c r="E26" s="106">
        <f t="shared" si="0"/>
        <v>3.3889033194999335E-2</v>
      </c>
      <c r="F26">
        <f t="shared" si="1"/>
        <v>2.3301180813499946E-2</v>
      </c>
    </row>
    <row r="27" spans="2:6" x14ac:dyDescent="0.2">
      <c r="B27" s="104" t="s">
        <v>285</v>
      </c>
      <c r="C27" s="96">
        <v>8.99</v>
      </c>
      <c r="D27" s="96">
        <v>0.63</v>
      </c>
      <c r="E27" s="106">
        <f t="shared" si="0"/>
        <v>8.0365716471620816E-2</v>
      </c>
      <c r="F27">
        <f t="shared" si="1"/>
        <v>5.0203687598924636E-2</v>
      </c>
    </row>
    <row r="28" spans="2:6" x14ac:dyDescent="0.2">
      <c r="B28" s="104" t="s">
        <v>286</v>
      </c>
      <c r="C28" s="96">
        <v>6.12</v>
      </c>
      <c r="D28" s="96">
        <v>0.66700000000000004</v>
      </c>
      <c r="E28" s="106">
        <f t="shared" si="0"/>
        <v>3.1306506290072457E-2</v>
      </c>
      <c r="F28">
        <f t="shared" si="1"/>
        <v>2.1948350292274269E-2</v>
      </c>
    </row>
    <row r="29" spans="2:6" x14ac:dyDescent="0.2">
      <c r="B29" s="104" t="s">
        <v>287</v>
      </c>
      <c r="C29" s="96">
        <v>5.23</v>
      </c>
      <c r="D29" s="96">
        <v>0.495</v>
      </c>
      <c r="E29" s="106">
        <f t="shared" si="0"/>
        <v>1.5440617438336458E-2</v>
      </c>
      <c r="F29">
        <f t="shared" si="1"/>
        <v>1.1347674276752769E-2</v>
      </c>
    </row>
    <row r="30" spans="2:6" x14ac:dyDescent="0.2">
      <c r="B30" s="104" t="s">
        <v>288</v>
      </c>
      <c r="C30" s="96">
        <v>5.6266666666666678</v>
      </c>
      <c r="D30" s="96">
        <v>0.79</v>
      </c>
      <c r="E30" s="106">
        <f t="shared" si="0"/>
        <v>2.9801302914494145E-2</v>
      </c>
      <c r="F30">
        <f t="shared" si="1"/>
        <v>2.1426567368377482E-2</v>
      </c>
    </row>
    <row r="31" spans="2:6" x14ac:dyDescent="0.2">
      <c r="B31" s="104" t="s">
        <v>289</v>
      </c>
      <c r="C31" s="96">
        <v>2.1</v>
      </c>
      <c r="D31" s="96">
        <v>0.51700000000000002</v>
      </c>
      <c r="E31" s="106">
        <f t="shared" si="0"/>
        <v>1.5038889984215515E-3</v>
      </c>
      <c r="F31">
        <f t="shared" si="1"/>
        <v>1.4532579217377028E-3</v>
      </c>
    </row>
    <row r="32" spans="2:6" x14ac:dyDescent="0.2">
      <c r="B32" s="104" t="s">
        <v>290</v>
      </c>
      <c r="C32" s="96">
        <v>8.0399999999999991</v>
      </c>
      <c r="D32" s="96">
        <v>0.43</v>
      </c>
      <c r="E32" s="106">
        <f t="shared" si="0"/>
        <v>4.1028841587148604E-2</v>
      </c>
      <c r="F32">
        <f t="shared" si="1"/>
        <v>2.6503616921294229E-2</v>
      </c>
    </row>
    <row r="33" spans="2:6" x14ac:dyDescent="0.2">
      <c r="B33" s="104" t="s">
        <v>291</v>
      </c>
      <c r="C33" s="96">
        <v>2.5350000000000001</v>
      </c>
      <c r="D33" s="96">
        <v>0.71</v>
      </c>
      <c r="E33" s="106">
        <f t="shared" si="0"/>
        <v>3.3694275858481421E-3</v>
      </c>
      <c r="F33">
        <f t="shared" si="1"/>
        <v>3.0771980117599807E-3</v>
      </c>
    </row>
    <row r="34" spans="2:6" x14ac:dyDescent="0.2">
      <c r="B34" s="104" t="s">
        <v>292</v>
      </c>
      <c r="C34" s="96">
        <v>1.8</v>
      </c>
      <c r="D34" s="96">
        <v>0.85799999999999998</v>
      </c>
      <c r="E34" s="106">
        <f t="shared" si="0"/>
        <v>1.671671252465625E-3</v>
      </c>
      <c r="F34">
        <f t="shared" si="1"/>
        <v>1.6918498904339675E-3</v>
      </c>
    </row>
    <row r="35" spans="2:6" x14ac:dyDescent="0.2">
      <c r="B35" s="104" t="s">
        <v>344</v>
      </c>
      <c r="C35" s="96">
        <v>7.56</v>
      </c>
      <c r="D35" s="96">
        <v>0.60499999999999998</v>
      </c>
      <c r="E35" s="106">
        <f t="shared" si="0"/>
        <v>4.9188900590183951E-2</v>
      </c>
      <c r="F35">
        <f t="shared" si="1"/>
        <v>3.2367062192661972E-2</v>
      </c>
    </row>
    <row r="36" spans="2:6" x14ac:dyDescent="0.2">
      <c r="B36" s="104" t="s">
        <v>345</v>
      </c>
      <c r="C36" s="96">
        <v>6.706666666666667</v>
      </c>
      <c r="D36" s="96">
        <v>0.48299999999999998</v>
      </c>
      <c r="E36" s="106">
        <f t="shared" si="0"/>
        <v>2.8762039605631496E-2</v>
      </c>
      <c r="F36">
        <f t="shared" si="1"/>
        <v>1.9618254699289323E-2</v>
      </c>
    </row>
    <row r="37" spans="2:6" x14ac:dyDescent="0.2">
      <c r="B37" s="104" t="s">
        <v>293</v>
      </c>
      <c r="C37" s="96">
        <v>6.4124999999999996</v>
      </c>
      <c r="D37" s="96">
        <v>0.57399999999999995</v>
      </c>
      <c r="E37" s="106">
        <f t="shared" si="0"/>
        <v>3.0418524803831906E-2</v>
      </c>
      <c r="F37">
        <f t="shared" si="1"/>
        <v>2.1029194608393809E-2</v>
      </c>
    </row>
    <row r="38" spans="2:6" x14ac:dyDescent="0.2">
      <c r="B38" s="104" t="s">
        <v>294</v>
      </c>
      <c r="C38" s="96">
        <v>3.774999999999999</v>
      </c>
      <c r="D38" s="96">
        <v>0.57199999999999995</v>
      </c>
      <c r="E38" s="106">
        <f t="shared" si="0"/>
        <v>7.644255373355292E-3</v>
      </c>
      <c r="F38">
        <f t="shared" si="1"/>
        <v>6.1951639699366077E-3</v>
      </c>
    </row>
    <row r="39" spans="2:6" x14ac:dyDescent="0.2">
      <c r="B39" s="104" t="s">
        <v>295</v>
      </c>
      <c r="C39" s="96">
        <v>5.7579999999999991</v>
      </c>
      <c r="D39" s="96">
        <v>0.53700000000000003</v>
      </c>
      <c r="E39" s="106">
        <f t="shared" si="0"/>
        <v>2.1509765513914279E-2</v>
      </c>
      <c r="F39">
        <f t="shared" si="1"/>
        <v>1.5358432132366234E-2</v>
      </c>
    </row>
    <row r="40" spans="2:6" x14ac:dyDescent="0.2">
      <c r="B40" s="104" t="s">
        <v>296</v>
      </c>
      <c r="C40" s="96">
        <v>2.66</v>
      </c>
      <c r="D40" s="96">
        <v>0.63800000000000001</v>
      </c>
      <c r="E40" s="106">
        <f t="shared" si="0"/>
        <v>3.4313736098874879E-3</v>
      </c>
      <c r="F40">
        <f t="shared" si="1"/>
        <v>3.0888457487105842E-3</v>
      </c>
    </row>
    <row r="41" spans="2:6" x14ac:dyDescent="0.2">
      <c r="B41" s="104" t="s">
        <v>297</v>
      </c>
      <c r="C41" s="96">
        <v>12.164999999999999</v>
      </c>
      <c r="D41" s="96">
        <v>0.77400000000000002</v>
      </c>
      <c r="E41" s="106">
        <f t="shared" si="0"/>
        <v>0.21676418542939094</v>
      </c>
      <c r="F41">
        <f t="shared" si="1"/>
        <v>0.12366494230036873</v>
      </c>
    </row>
    <row r="42" spans="2:6" x14ac:dyDescent="0.2">
      <c r="B42" s="104" t="s">
        <v>298</v>
      </c>
      <c r="C42" s="96">
        <v>6.86</v>
      </c>
      <c r="D42" s="96">
        <v>0.872</v>
      </c>
      <c r="E42" s="106">
        <f t="shared" si="0"/>
        <v>5.5069896298388342E-2</v>
      </c>
      <c r="F42">
        <f t="shared" si="1"/>
        <v>3.730866671070919E-2</v>
      </c>
    </row>
    <row r="43" spans="2:6" x14ac:dyDescent="0.2">
      <c r="B43" s="104" t="s">
        <v>299</v>
      </c>
      <c r="C43" s="96">
        <v>4.97</v>
      </c>
      <c r="D43" s="96">
        <v>0.54700000000000004</v>
      </c>
      <c r="E43" s="106">
        <f t="shared" si="0"/>
        <v>1.4944074017454744E-2</v>
      </c>
      <c r="F43">
        <f t="shared" si="1"/>
        <v>1.1152052324207492E-2</v>
      </c>
    </row>
    <row r="44" spans="2:6" x14ac:dyDescent="0.2">
      <c r="B44" s="104" t="s">
        <v>300</v>
      </c>
      <c r="C44" s="96">
        <v>3.98</v>
      </c>
      <c r="D44" s="96">
        <v>0.42399999999999999</v>
      </c>
      <c r="E44" s="106">
        <f t="shared" si="0"/>
        <v>6.5015501504980134E-3</v>
      </c>
      <c r="F44">
        <f t="shared" si="1"/>
        <v>5.1861455406240894E-3</v>
      </c>
    </row>
    <row r="45" spans="2:6" x14ac:dyDescent="0.2">
      <c r="B45" s="104" t="s">
        <v>301</v>
      </c>
      <c r="C45" s="96">
        <v>6.1</v>
      </c>
      <c r="D45" s="96">
        <v>0.70699999999999996</v>
      </c>
      <c r="E45" s="106">
        <f t="shared" si="0"/>
        <v>3.2902739399280068E-2</v>
      </c>
      <c r="F45">
        <f t="shared" si="1"/>
        <v>2.3090099921970923E-2</v>
      </c>
    </row>
    <row r="46" spans="2:6" x14ac:dyDescent="0.2">
      <c r="B46" s="104" t="s">
        <v>302</v>
      </c>
      <c r="C46" s="96">
        <v>14.05</v>
      </c>
      <c r="D46" s="96">
        <v>0.71199999999999997</v>
      </c>
      <c r="E46" s="106">
        <f t="shared" si="0"/>
        <v>0.28999700292841701</v>
      </c>
      <c r="F46">
        <f t="shared" si="1"/>
        <v>0.15844674338153547</v>
      </c>
    </row>
    <row r="47" spans="2:6" x14ac:dyDescent="0.2">
      <c r="B47" s="104" t="s">
        <v>303</v>
      </c>
      <c r="C47" s="96">
        <v>0.95500000000000007</v>
      </c>
      <c r="D47" s="96">
        <v>0.76900000000000002</v>
      </c>
      <c r="E47" s="106">
        <f t="shared" si="0"/>
        <v>2.8833023027167559E-4</v>
      </c>
      <c r="F47">
        <f t="shared" si="1"/>
        <v>3.5292455228395697E-4</v>
      </c>
    </row>
    <row r="48" spans="2:6" x14ac:dyDescent="0.2">
      <c r="B48" s="104" t="s">
        <v>304</v>
      </c>
      <c r="C48" s="96">
        <v>13.135999999999999</v>
      </c>
      <c r="D48" s="96">
        <v>0.49099999999999999</v>
      </c>
      <c r="E48" s="106">
        <f t="shared" si="0"/>
        <v>0.16789614648995688</v>
      </c>
      <c r="F48">
        <f t="shared" si="1"/>
        <v>9.3604018033982536E-2</v>
      </c>
    </row>
    <row r="49" spans="2:6" x14ac:dyDescent="0.2">
      <c r="B49" s="104" t="s">
        <v>305</v>
      </c>
      <c r="C49" s="96">
        <v>16.844999999999999</v>
      </c>
      <c r="D49" s="96">
        <v>0.53400000000000003</v>
      </c>
      <c r="E49" s="106">
        <f t="shared" si="0"/>
        <v>0.34859485242376487</v>
      </c>
      <c r="F49">
        <f t="shared" si="1"/>
        <v>0.18037334955623008</v>
      </c>
    </row>
    <row r="50" spans="2:6" x14ac:dyDescent="0.2">
      <c r="B50" s="104" t="s">
        <v>306</v>
      </c>
      <c r="C50" s="96">
        <v>11.424999999999999</v>
      </c>
      <c r="D50" s="96">
        <v>0.44400000000000001</v>
      </c>
      <c r="E50" s="106">
        <f t="shared" si="0"/>
        <v>0.10562438316677511</v>
      </c>
      <c r="F50">
        <f t="shared" si="1"/>
        <v>6.1404475800799503E-2</v>
      </c>
    </row>
    <row r="51" spans="2:6" x14ac:dyDescent="0.2">
      <c r="B51" s="104" t="s">
        <v>307</v>
      </c>
      <c r="C51" s="96">
        <v>16.215</v>
      </c>
      <c r="D51" s="96">
        <v>0.51</v>
      </c>
      <c r="E51" s="106">
        <f t="shared" si="0"/>
        <v>0.30151528061327099</v>
      </c>
      <c r="F51">
        <f t="shared" si="1"/>
        <v>0.15780724792059314</v>
      </c>
    </row>
    <row r="52" spans="2:6" x14ac:dyDescent="0.2">
      <c r="B52" s="104" t="s">
        <v>308</v>
      </c>
      <c r="C52" s="96">
        <v>8.2774999999999999</v>
      </c>
      <c r="D52" s="96">
        <v>0.89700000000000002</v>
      </c>
      <c r="E52" s="106">
        <f t="shared" si="0"/>
        <v>9.231779193504322E-2</v>
      </c>
      <c r="F52">
        <f t="shared" si="1"/>
        <v>5.9116451409416119E-2</v>
      </c>
    </row>
    <row r="53" spans="2:6" x14ac:dyDescent="0.2">
      <c r="B53" s="104" t="s">
        <v>309</v>
      </c>
      <c r="C53" s="96">
        <v>7.5549999999999988</v>
      </c>
      <c r="D53" s="96">
        <v>0.45500000000000002</v>
      </c>
      <c r="E53" s="106">
        <f t="shared" si="0"/>
        <v>3.6929726228912559E-2</v>
      </c>
      <c r="F53">
        <f t="shared" si="1"/>
        <v>2.4305158222864717E-2</v>
      </c>
    </row>
    <row r="54" spans="2:6" x14ac:dyDescent="0.2">
      <c r="B54" s="104" t="s">
        <v>310</v>
      </c>
      <c r="C54" s="96">
        <v>4.0249999999999995</v>
      </c>
      <c r="D54" s="96">
        <v>0.627</v>
      </c>
      <c r="E54" s="106">
        <f t="shared" si="0"/>
        <v>9.8995149070728716E-3</v>
      </c>
      <c r="F54">
        <f t="shared" si="1"/>
        <v>7.8700384407452903E-3</v>
      </c>
    </row>
    <row r="55" spans="2:6" x14ac:dyDescent="0.2">
      <c r="B55" s="104" t="s">
        <v>311</v>
      </c>
      <c r="C55" s="96">
        <v>6.9560000000000004</v>
      </c>
      <c r="D55" s="96">
        <v>0.56399999999999995</v>
      </c>
      <c r="E55" s="106">
        <f t="shared" si="0"/>
        <v>3.6929129247806031E-2</v>
      </c>
      <c r="F55">
        <f t="shared" si="1"/>
        <v>2.4914598945086526E-2</v>
      </c>
    </row>
    <row r="56" spans="2:6" x14ac:dyDescent="0.2">
      <c r="B56" s="104" t="s">
        <v>312</v>
      </c>
      <c r="C56" s="96">
        <v>5.18</v>
      </c>
      <c r="D56" s="96">
        <v>0.57499999999999996</v>
      </c>
      <c r="E56" s="106">
        <f t="shared" si="0"/>
        <v>1.7493644348207077E-2</v>
      </c>
      <c r="F56">
        <f t="shared" si="1"/>
        <v>1.2893596354246929E-2</v>
      </c>
    </row>
    <row r="57" spans="2:6" x14ac:dyDescent="0.2">
      <c r="B57" s="104" t="s">
        <v>313</v>
      </c>
      <c r="C57" s="96">
        <v>9.6320000000000014</v>
      </c>
      <c r="D57" s="96">
        <v>0.76100000000000001</v>
      </c>
      <c r="E57" s="106">
        <f t="shared" si="0"/>
        <v>0.11614554650832885</v>
      </c>
      <c r="F57">
        <f t="shared" si="1"/>
        <v>7.1069019665314592E-2</v>
      </c>
    </row>
    <row r="58" spans="2:6" x14ac:dyDescent="0.2">
      <c r="B58" s="104" t="s">
        <v>314</v>
      </c>
      <c r="C58" s="96">
        <v>8.85</v>
      </c>
      <c r="D58" s="96">
        <v>0.53300000000000003</v>
      </c>
      <c r="E58" s="106">
        <f t="shared" si="0"/>
        <v>6.527318216815689E-2</v>
      </c>
      <c r="F58">
        <f t="shared" si="1"/>
        <v>4.0967976115630335E-2</v>
      </c>
    </row>
    <row r="59" spans="2:6" x14ac:dyDescent="0.2">
      <c r="B59" s="104" t="s">
        <v>315</v>
      </c>
      <c r="C59" s="96">
        <v>11.826666666666666</v>
      </c>
      <c r="D59" s="96">
        <v>0.67600000000000005</v>
      </c>
      <c r="E59" s="106">
        <f t="shared" si="0"/>
        <v>0.1759316175009398</v>
      </c>
      <c r="F59">
        <f t="shared" si="1"/>
        <v>0.10122269448022997</v>
      </c>
    </row>
    <row r="60" spans="2:6" x14ac:dyDescent="0.2">
      <c r="B60" s="104" t="s">
        <v>316</v>
      </c>
      <c r="C60" s="96">
        <v>2.69</v>
      </c>
      <c r="D60" s="96">
        <v>0.65500000000000003</v>
      </c>
      <c r="E60" s="106">
        <f t="shared" si="0"/>
        <v>3.6270396305899811E-3</v>
      </c>
      <c r="F60">
        <f t="shared" si="1"/>
        <v>3.2540132874042411E-3</v>
      </c>
    </row>
    <row r="61" spans="2:6" x14ac:dyDescent="0.2">
      <c r="B61" s="104" t="s">
        <v>317</v>
      </c>
      <c r="C61" s="96">
        <v>13</v>
      </c>
      <c r="D61" s="96">
        <v>0.64500000000000002</v>
      </c>
      <c r="E61" s="106">
        <f t="shared" si="0"/>
        <v>0.21466809560389</v>
      </c>
      <c r="F61">
        <f t="shared" si="1"/>
        <v>0.12005415710791469</v>
      </c>
    </row>
    <row r="62" spans="2:6" x14ac:dyDescent="0.2">
      <c r="B62" s="104" t="s">
        <v>318</v>
      </c>
      <c r="C62" s="96">
        <v>12</v>
      </c>
      <c r="D62" s="96">
        <v>0.60399999999999998</v>
      </c>
      <c r="E62" s="106">
        <f t="shared" si="0"/>
        <v>0.16325378205415236</v>
      </c>
      <c r="F62">
        <f t="shared" si="1"/>
        <v>9.3519372158522421E-2</v>
      </c>
    </row>
    <row r="63" spans="2:6" x14ac:dyDescent="0.2">
      <c r="B63" s="104" t="s">
        <v>319</v>
      </c>
      <c r="C63" s="96">
        <v>10.62</v>
      </c>
      <c r="D63" s="96">
        <v>0.749</v>
      </c>
      <c r="E63" s="106">
        <f t="shared" si="0"/>
        <v>0.14735356049164994</v>
      </c>
      <c r="F63">
        <f t="shared" si="1"/>
        <v>8.756206280500492E-2</v>
      </c>
    </row>
    <row r="64" spans="2:6" x14ac:dyDescent="0.2">
      <c r="B64" s="104" t="s">
        <v>320</v>
      </c>
      <c r="C64" s="96">
        <v>9.68</v>
      </c>
      <c r="D64" s="96">
        <v>0.73799999999999999</v>
      </c>
      <c r="E64" s="106">
        <f t="shared" si="0"/>
        <v>0.11410045170461645</v>
      </c>
      <c r="F64">
        <f t="shared" si="1"/>
        <v>6.9713592201006425E-2</v>
      </c>
    </row>
    <row r="65" spans="2:6" x14ac:dyDescent="0.2">
      <c r="B65" s="104" t="s">
        <v>321</v>
      </c>
      <c r="C65" s="96">
        <v>23.24</v>
      </c>
      <c r="D65" s="96">
        <v>0.70499999999999996</v>
      </c>
      <c r="E65" s="106">
        <f t="shared" si="0"/>
        <v>1.0625713736347819</v>
      </c>
      <c r="F65">
        <f t="shared" si="1"/>
        <v>0.49920621036995849</v>
      </c>
    </row>
    <row r="66" spans="2:6" x14ac:dyDescent="0.2">
      <c r="B66" s="104" t="s">
        <v>322</v>
      </c>
      <c r="C66" s="96">
        <v>13.78</v>
      </c>
      <c r="D66" s="96">
        <v>0.44800000000000001</v>
      </c>
      <c r="E66" s="106">
        <f t="shared" si="0"/>
        <v>0.17349263877820412</v>
      </c>
      <c r="F66">
        <f t="shared" si="1"/>
        <v>9.5345234760946071E-2</v>
      </c>
    </row>
    <row r="67" spans="2:6" x14ac:dyDescent="0.2">
      <c r="B67" s="104" t="s">
        <v>323</v>
      </c>
      <c r="C67" s="96">
        <v>5.0750000000000002</v>
      </c>
      <c r="D67" s="96">
        <v>0.84099999999999997</v>
      </c>
      <c r="E67" s="106">
        <f t="shared" si="0"/>
        <v>2.4259664462930913E-2</v>
      </c>
      <c r="F67">
        <f t="shared" si="1"/>
        <v>1.7990642804843707E-2</v>
      </c>
    </row>
    <row r="68" spans="2:6" x14ac:dyDescent="0.2">
      <c r="B68" s="104" t="s">
        <v>324</v>
      </c>
      <c r="C68" s="96">
        <v>9.0933333333333337</v>
      </c>
      <c r="D68" s="96">
        <v>0.63900000000000001</v>
      </c>
      <c r="E68" s="106">
        <f t="shared" si="0"/>
        <v>8.3972294523257232E-2</v>
      </c>
      <c r="F68">
        <f t="shared" si="1"/>
        <v>5.22771366388219E-2</v>
      </c>
    </row>
    <row r="69" spans="2:6" x14ac:dyDescent="0.2">
      <c r="B69" s="104" t="s">
        <v>325</v>
      </c>
      <c r="C69" s="96">
        <v>6.18</v>
      </c>
      <c r="D69" s="96">
        <v>0.60499999999999998</v>
      </c>
      <c r="E69" s="106">
        <f t="shared" ref="E69:E88" si="2">((0.0673*D69*((C69/10)^2.6))/1000)*2500</f>
        <v>2.9125975695807573E-2</v>
      </c>
      <c r="F69">
        <f t="shared" ref="F69:F88" si="3">((0.0509*D69*(C69/10)^2.3)/1000)*2000</f>
        <v>2.0359947104311851E-2</v>
      </c>
    </row>
    <row r="70" spans="2:6" x14ac:dyDescent="0.2">
      <c r="B70" s="104" t="s">
        <v>326</v>
      </c>
      <c r="C70" s="96">
        <v>16.305</v>
      </c>
      <c r="D70" s="96">
        <v>0.39300000000000002</v>
      </c>
      <c r="E70" s="106">
        <f t="shared" si="2"/>
        <v>0.23571201009605833</v>
      </c>
      <c r="F70">
        <f t="shared" si="3"/>
        <v>0.12316240919522865</v>
      </c>
    </row>
    <row r="71" spans="2:6" x14ac:dyDescent="0.2">
      <c r="B71" s="104" t="s">
        <v>327</v>
      </c>
      <c r="C71" s="96">
        <v>12.06</v>
      </c>
      <c r="D71" s="96">
        <v>0.44500000000000001</v>
      </c>
      <c r="E71" s="106">
        <f t="shared" si="2"/>
        <v>0.12184790995298696</v>
      </c>
      <c r="F71">
        <f t="shared" si="3"/>
        <v>6.9695798306446122E-2</v>
      </c>
    </row>
    <row r="72" spans="2:6" x14ac:dyDescent="0.2">
      <c r="B72" s="104" t="s">
        <v>328</v>
      </c>
      <c r="C72" s="96">
        <v>4.41</v>
      </c>
      <c r="D72" s="96">
        <v>0.40699999999999997</v>
      </c>
      <c r="E72" s="106">
        <f t="shared" si="2"/>
        <v>8.1487278724003201E-3</v>
      </c>
      <c r="F72">
        <f t="shared" si="3"/>
        <v>6.3030527683994803E-3</v>
      </c>
    </row>
    <row r="73" spans="2:6" x14ac:dyDescent="0.2">
      <c r="B73" s="104" t="s">
        <v>329</v>
      </c>
      <c r="C73" s="96">
        <v>15.73</v>
      </c>
      <c r="D73" s="96">
        <v>0.56999999999999995</v>
      </c>
      <c r="E73" s="106">
        <f t="shared" si="2"/>
        <v>0.31140430157520993</v>
      </c>
      <c r="F73">
        <f t="shared" si="3"/>
        <v>0.16447454578086571</v>
      </c>
    </row>
    <row r="74" spans="2:6" x14ac:dyDescent="0.2">
      <c r="B74" s="104" t="s">
        <v>330</v>
      </c>
      <c r="C74" s="96">
        <v>3.6</v>
      </c>
      <c r="D74" s="96">
        <v>0.626</v>
      </c>
      <c r="E74" s="106">
        <f t="shared" si="2"/>
        <v>7.3946208007550371E-3</v>
      </c>
      <c r="F74">
        <f t="shared" si="3"/>
        <v>6.0788001144851632E-3</v>
      </c>
    </row>
    <row r="75" spans="2:6" x14ac:dyDescent="0.2">
      <c r="B75" s="104" t="s">
        <v>331</v>
      </c>
      <c r="C75" s="96">
        <v>5.3979999999999997</v>
      </c>
      <c r="D75" s="96">
        <v>0.65800000000000003</v>
      </c>
      <c r="E75" s="106">
        <f t="shared" si="2"/>
        <v>2.2283656491980785E-2</v>
      </c>
      <c r="F75">
        <f t="shared" si="3"/>
        <v>1.6222182993230357E-2</v>
      </c>
    </row>
    <row r="76" spans="2:6" x14ac:dyDescent="0.2">
      <c r="B76" s="104" t="s">
        <v>332</v>
      </c>
      <c r="C76" s="96">
        <v>14.88</v>
      </c>
      <c r="D76" s="96">
        <v>0.49299999999999999</v>
      </c>
      <c r="E76" s="106">
        <f t="shared" si="2"/>
        <v>0.23311467462251678</v>
      </c>
      <c r="F76">
        <f t="shared" si="3"/>
        <v>0.12519340141475033</v>
      </c>
    </row>
    <row r="77" spans="2:6" x14ac:dyDescent="0.2">
      <c r="B77" s="104" t="s">
        <v>333</v>
      </c>
      <c r="C77" s="96">
        <v>11.416666666666666</v>
      </c>
      <c r="D77" s="96">
        <v>0.40899999999999997</v>
      </c>
      <c r="E77" s="106">
        <f t="shared" si="2"/>
        <v>9.7113725686813535E-2</v>
      </c>
      <c r="F77">
        <f t="shared" si="3"/>
        <v>5.6469185623672584E-2</v>
      </c>
    </row>
    <row r="78" spans="2:6" x14ac:dyDescent="0.2">
      <c r="B78" s="104" t="s">
        <v>334</v>
      </c>
      <c r="C78" s="96">
        <v>21.76</v>
      </c>
      <c r="D78" s="96">
        <v>0.21099999999999999</v>
      </c>
      <c r="E78" s="106">
        <f t="shared" si="2"/>
        <v>0.26800978161343042</v>
      </c>
      <c r="F78">
        <f t="shared" si="3"/>
        <v>0.12842384918134961</v>
      </c>
    </row>
    <row r="79" spans="2:6" x14ac:dyDescent="0.2">
      <c r="B79" s="104" t="s">
        <v>335</v>
      </c>
      <c r="C79" s="96">
        <v>6.9</v>
      </c>
      <c r="D79" s="96">
        <v>0.72399999999999998</v>
      </c>
      <c r="E79" s="106">
        <f t="shared" si="2"/>
        <v>4.6419587303244525E-2</v>
      </c>
      <c r="F79">
        <f t="shared" si="3"/>
        <v>3.139346500270529E-2</v>
      </c>
    </row>
    <row r="80" spans="2:6" x14ac:dyDescent="0.2">
      <c r="B80" s="104" t="s">
        <v>336</v>
      </c>
      <c r="C80" s="96">
        <v>2.9849999999999994</v>
      </c>
      <c r="D80" s="96">
        <v>0.79700000000000004</v>
      </c>
      <c r="E80" s="106">
        <f t="shared" si="2"/>
        <v>5.784537841498248E-3</v>
      </c>
      <c r="F80">
        <f t="shared" si="3"/>
        <v>5.0301168164117562E-3</v>
      </c>
    </row>
    <row r="81" spans="2:6" x14ac:dyDescent="0.2">
      <c r="B81" s="104" t="s">
        <v>337</v>
      </c>
      <c r="C81" s="96">
        <v>7.74</v>
      </c>
      <c r="D81" s="96">
        <v>0.67300000000000004</v>
      </c>
      <c r="E81" s="106">
        <f t="shared" si="2"/>
        <v>5.8169674670321851E-2</v>
      </c>
      <c r="F81">
        <f t="shared" si="3"/>
        <v>3.8007302882351351E-2</v>
      </c>
    </row>
    <row r="82" spans="2:6" x14ac:dyDescent="0.2">
      <c r="B82" s="104" t="s">
        <v>338</v>
      </c>
      <c r="C82" s="96">
        <v>19.32</v>
      </c>
      <c r="D82" s="96">
        <v>0.58199999999999996</v>
      </c>
      <c r="E82" s="106">
        <f t="shared" si="2"/>
        <v>0.54262097195179582</v>
      </c>
      <c r="F82">
        <f t="shared" si="3"/>
        <v>0.26945555633291685</v>
      </c>
    </row>
    <row r="83" spans="2:6" x14ac:dyDescent="0.2">
      <c r="B83" s="104" t="s">
        <v>339</v>
      </c>
      <c r="C83" s="96">
        <v>12.909999999999998</v>
      </c>
      <c r="D83" s="96">
        <v>0.55800000000000005</v>
      </c>
      <c r="E83" s="106">
        <f t="shared" si="2"/>
        <v>0.18238852104120171</v>
      </c>
      <c r="F83">
        <f t="shared" si="3"/>
        <v>0.10221445895361957</v>
      </c>
    </row>
    <row r="84" spans="2:6" x14ac:dyDescent="0.2">
      <c r="B84" s="104" t="s">
        <v>340</v>
      </c>
      <c r="C84" s="96">
        <v>15.43</v>
      </c>
      <c r="D84" s="96">
        <v>0.44700000000000001</v>
      </c>
      <c r="E84" s="106">
        <f t="shared" si="2"/>
        <v>0.23228116940338267</v>
      </c>
      <c r="F84">
        <f t="shared" si="3"/>
        <v>0.12339482064702757</v>
      </c>
    </row>
    <row r="85" spans="2:6" x14ac:dyDescent="0.2">
      <c r="B85" s="104" t="s">
        <v>341</v>
      </c>
      <c r="C85" s="96">
        <v>12.288333333333334</v>
      </c>
      <c r="D85" s="96">
        <v>0.46</v>
      </c>
      <c r="E85" s="106">
        <f t="shared" si="2"/>
        <v>0.13224968970404374</v>
      </c>
      <c r="F85">
        <f t="shared" si="3"/>
        <v>7.5221063924318335E-2</v>
      </c>
    </row>
    <row r="86" spans="2:6" x14ac:dyDescent="0.2">
      <c r="B86" s="104" t="s">
        <v>342</v>
      </c>
      <c r="C86" s="96">
        <v>5.6400000000000006</v>
      </c>
      <c r="D86" s="96">
        <v>0.65200000000000002</v>
      </c>
      <c r="E86" s="106">
        <f t="shared" si="2"/>
        <v>2.4747329396245941E-2</v>
      </c>
      <c r="F86">
        <f t="shared" si="3"/>
        <v>1.7780227474539934E-2</v>
      </c>
    </row>
    <row r="87" spans="2:6" x14ac:dyDescent="0.2">
      <c r="B87" s="104" t="s">
        <v>343</v>
      </c>
      <c r="C87" s="96">
        <v>17.386666666666667</v>
      </c>
      <c r="D87" s="96">
        <v>0.33500000000000002</v>
      </c>
      <c r="E87" s="106">
        <f t="shared" si="2"/>
        <v>0.23744461941045025</v>
      </c>
      <c r="F87">
        <f t="shared" si="3"/>
        <v>0.12169987704232021</v>
      </c>
    </row>
    <row r="88" spans="2:6" x14ac:dyDescent="0.2">
      <c r="B88" s="104" t="s">
        <v>261</v>
      </c>
      <c r="C88" s="96">
        <v>22.38</v>
      </c>
      <c r="D88" s="96">
        <v>0.68600000000000005</v>
      </c>
      <c r="E88" s="106">
        <f t="shared" si="2"/>
        <v>0.93737939382469548</v>
      </c>
      <c r="F88">
        <f t="shared" si="3"/>
        <v>0.44539986672889742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eb58d0f-f804-411f-a20e-09ebfae62b4c}" enabled="1" method="Privileged" siteId="{0f9e35db-544f-4f60-bdcc-5ea416e6dc7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Start</vt:lpstr>
      <vt:lpstr>1.Energy</vt:lpstr>
      <vt:lpstr>2.Afforestation &amp; Reforestation</vt:lpstr>
      <vt:lpstr>3.Agriculture</vt:lpstr>
      <vt:lpstr>4.Forestry &amp; Conservation</vt:lpstr>
      <vt:lpstr>Results</vt:lpstr>
      <vt:lpstr>Sheet4</vt:lpstr>
      <vt:lpstr>Sheet5</vt:lpstr>
      <vt:lpstr>Sheet6</vt:lpstr>
      <vt:lpstr>Sheet7</vt:lpstr>
      <vt:lpstr>Modern</vt:lpstr>
      <vt:lpstr>Modern_fuel</vt:lpstr>
      <vt:lpstr>Renewable</vt:lpstr>
      <vt:lpstr>Renewable_fuel</vt:lpstr>
      <vt:lpstr>Start!time</vt:lpstr>
      <vt:lpstr>Start!time_cap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Chadrack Kafuti</dc:creator>
  <cp:lastModifiedBy>Amirah Yahaya</cp:lastModifiedBy>
  <cp:lastPrinted>2024-08-10T17:01:46Z</cp:lastPrinted>
  <dcterms:created xsi:type="dcterms:W3CDTF">2024-07-31T15:48:30Z</dcterms:created>
  <dcterms:modified xsi:type="dcterms:W3CDTF">2026-01-08T11:00:40Z</dcterms:modified>
</cp:coreProperties>
</file>